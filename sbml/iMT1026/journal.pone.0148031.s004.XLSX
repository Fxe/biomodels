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5075" windowHeight="10965" activeTab="2"/>
  </bookViews>
  <sheets>
    <sheet name="Contents" sheetId="4" r:id="rId1"/>
    <sheet name="FAB" sheetId="2" r:id="rId2"/>
    <sheet name="ROL" sheetId="5" r:id="rId3"/>
  </sheets>
  <calcPr calcId="145621"/>
</workbook>
</file>

<file path=xl/calcChain.xml><?xml version="1.0" encoding="utf-8"?>
<calcChain xmlns="http://schemas.openxmlformats.org/spreadsheetml/2006/main">
  <c r="E57" i="5" l="1"/>
  <c r="F54" i="5" s="1"/>
  <c r="E42" i="5"/>
  <c r="F39" i="5" s="1"/>
  <c r="E27" i="5"/>
  <c r="F24" i="5" s="1"/>
  <c r="F26" i="5"/>
  <c r="F25" i="5"/>
  <c r="F23" i="5"/>
  <c r="F22" i="5"/>
  <c r="H22" i="5" s="1"/>
  <c r="F20" i="5"/>
  <c r="H20" i="5" s="1"/>
  <c r="F19" i="5"/>
  <c r="H19" i="5" s="1"/>
  <c r="F18" i="5"/>
  <c r="F17" i="5"/>
  <c r="F15" i="5"/>
  <c r="F14" i="5"/>
  <c r="H14" i="5" s="1"/>
  <c r="F12" i="5"/>
  <c r="H12" i="5" s="1"/>
  <c r="F11" i="5"/>
  <c r="H11" i="5" s="1"/>
  <c r="F10" i="5"/>
  <c r="F9" i="5"/>
  <c r="H9" i="5" s="1"/>
  <c r="F7" i="5"/>
  <c r="F38" i="5" l="1"/>
  <c r="F42" i="5"/>
  <c r="F40" i="5"/>
  <c r="F6" i="5"/>
  <c r="H6" i="5" s="1"/>
  <c r="F8" i="5"/>
  <c r="H8" i="5" s="1"/>
  <c r="H39" i="5"/>
  <c r="H54" i="5"/>
  <c r="H24" i="5"/>
  <c r="H17" i="5"/>
  <c r="H25" i="5"/>
  <c r="H40" i="5"/>
  <c r="F55" i="5"/>
  <c r="H7" i="5"/>
  <c r="H15" i="5"/>
  <c r="H23" i="5"/>
  <c r="H10" i="5"/>
  <c r="F13" i="5"/>
  <c r="H18" i="5"/>
  <c r="F21" i="5"/>
  <c r="H26" i="5"/>
  <c r="H38" i="5"/>
  <c r="F41" i="5"/>
  <c r="F53" i="5"/>
  <c r="F16" i="5"/>
  <c r="F56" i="5"/>
  <c r="E57" i="2"/>
  <c r="F54" i="2" s="1"/>
  <c r="E42" i="2"/>
  <c r="F40" i="2" s="1"/>
  <c r="H41" i="5" l="1"/>
  <c r="H42" i="5"/>
  <c r="I41" i="5" s="1"/>
  <c r="H21" i="5"/>
  <c r="H55" i="5"/>
  <c r="F27" i="5"/>
  <c r="H56" i="5"/>
  <c r="H13" i="5"/>
  <c r="H16" i="5"/>
  <c r="H53" i="5"/>
  <c r="H40" i="2"/>
  <c r="H54" i="2"/>
  <c r="F38" i="2"/>
  <c r="F41" i="2"/>
  <c r="F42" i="2"/>
  <c r="F55" i="2"/>
  <c r="F56" i="2"/>
  <c r="F39" i="2"/>
  <c r="F53" i="2"/>
  <c r="E27" i="2"/>
  <c r="F19" i="2" s="1"/>
  <c r="H19" i="2" s="1"/>
  <c r="H57" i="5" l="1"/>
  <c r="I53" i="5"/>
  <c r="I55" i="5"/>
  <c r="H27" i="5"/>
  <c r="I38" i="5"/>
  <c r="I40" i="5"/>
  <c r="I39" i="5"/>
  <c r="H55" i="2"/>
  <c r="F10" i="2"/>
  <c r="H10" i="2" s="1"/>
  <c r="H41" i="2"/>
  <c r="F21" i="2"/>
  <c r="H21" i="2" s="1"/>
  <c r="H38" i="2"/>
  <c r="H53" i="2"/>
  <c r="H39" i="2"/>
  <c r="H56" i="2"/>
  <c r="F25" i="2"/>
  <c r="H25" i="2" s="1"/>
  <c r="F12" i="2"/>
  <c r="H12" i="2" s="1"/>
  <c r="F17" i="2"/>
  <c r="H17" i="2" s="1"/>
  <c r="F13" i="2"/>
  <c r="H13" i="2" s="1"/>
  <c r="F11" i="2"/>
  <c r="H11" i="2" s="1"/>
  <c r="F9" i="2"/>
  <c r="H9" i="2" s="1"/>
  <c r="F23" i="2"/>
  <c r="H23" i="2" s="1"/>
  <c r="F6" i="2"/>
  <c r="H6" i="2" s="1"/>
  <c r="F24" i="2"/>
  <c r="H24" i="2" s="1"/>
  <c r="F15" i="2"/>
  <c r="H15" i="2" s="1"/>
  <c r="F20" i="2"/>
  <c r="H20" i="2" s="1"/>
  <c r="F16" i="2"/>
  <c r="H16" i="2" s="1"/>
  <c r="F7" i="2"/>
  <c r="H7" i="2" s="1"/>
  <c r="F26" i="2"/>
  <c r="H26" i="2" s="1"/>
  <c r="F8" i="2"/>
  <c r="H8" i="2" s="1"/>
  <c r="F14" i="2"/>
  <c r="H14" i="2" s="1"/>
  <c r="F18" i="2"/>
  <c r="H18" i="2" s="1"/>
  <c r="F22" i="2"/>
  <c r="H22" i="2" s="1"/>
  <c r="I54" i="5" l="1"/>
  <c r="I57" i="5" s="1"/>
  <c r="I58" i="5" s="1"/>
  <c r="I56" i="5"/>
  <c r="I42" i="5"/>
  <c r="I43" i="5" s="1"/>
  <c r="I8" i="5"/>
  <c r="I11" i="5"/>
  <c r="I6" i="5"/>
  <c r="I22" i="5"/>
  <c r="I19" i="5"/>
  <c r="I14" i="5"/>
  <c r="I18" i="5"/>
  <c r="I15" i="5"/>
  <c r="I26" i="5"/>
  <c r="I23" i="5"/>
  <c r="I24" i="5"/>
  <c r="I9" i="5"/>
  <c r="I17" i="5"/>
  <c r="I7" i="5"/>
  <c r="I25" i="5"/>
  <c r="I12" i="5"/>
  <c r="I10" i="5"/>
  <c r="I20" i="5"/>
  <c r="I21" i="5"/>
  <c r="I16" i="5"/>
  <c r="I13" i="5"/>
  <c r="H42" i="2"/>
  <c r="I40" i="2" s="1"/>
  <c r="I39" i="2"/>
  <c r="I41" i="2"/>
  <c r="I38" i="2"/>
  <c r="H57" i="2"/>
  <c r="F27" i="2"/>
  <c r="H27" i="2"/>
  <c r="I27" i="5" l="1"/>
  <c r="I28" i="5" s="1"/>
  <c r="I42" i="2"/>
  <c r="I43" i="2" s="1"/>
  <c r="I54" i="2"/>
  <c r="I55" i="2"/>
  <c r="I53" i="2"/>
  <c r="I56" i="2"/>
  <c r="I19" i="2"/>
  <c r="I26" i="2"/>
  <c r="I10" i="2"/>
  <c r="I17" i="2"/>
  <c r="I23" i="2"/>
  <c r="I24" i="2"/>
  <c r="I13" i="2"/>
  <c r="I14" i="2"/>
  <c r="I12" i="2"/>
  <c r="I6" i="2"/>
  <c r="I20" i="2"/>
  <c r="I11" i="2"/>
  <c r="I7" i="2"/>
  <c r="I9" i="2"/>
  <c r="I15" i="2"/>
  <c r="I8" i="2"/>
  <c r="I21" i="2"/>
  <c r="I16" i="2"/>
  <c r="I25" i="2"/>
  <c r="I18" i="2"/>
  <c r="I22" i="2"/>
  <c r="I57" i="2" l="1"/>
  <c r="I58" i="2" s="1"/>
  <c r="I27" i="2"/>
  <c r="I28" i="2" s="1"/>
</calcChain>
</file>

<file path=xl/sharedStrings.xml><?xml version="1.0" encoding="utf-8"?>
<sst xmlns="http://schemas.openxmlformats.org/spreadsheetml/2006/main" count="139" uniqueCount="81">
  <si>
    <t>A</t>
  </si>
  <si>
    <t>C</t>
  </si>
  <si>
    <t>G</t>
  </si>
  <si>
    <t>T</t>
  </si>
  <si>
    <t>U</t>
  </si>
  <si>
    <t>Ala</t>
  </si>
  <si>
    <t>Cys</t>
  </si>
  <si>
    <t>Asp</t>
  </si>
  <si>
    <t>Glu</t>
  </si>
  <si>
    <t>Phe</t>
  </si>
  <si>
    <t>Gly</t>
  </si>
  <si>
    <t>His</t>
  </si>
  <si>
    <t>Ile</t>
  </si>
  <si>
    <t>Lys</t>
  </si>
  <si>
    <t>Leu</t>
  </si>
  <si>
    <t>Met</t>
  </si>
  <si>
    <t>Asn</t>
  </si>
  <si>
    <t>Pro</t>
  </si>
  <si>
    <t>Gln</t>
  </si>
  <si>
    <t>Arg</t>
  </si>
  <si>
    <t>Ser</t>
  </si>
  <si>
    <t>Thr</t>
  </si>
  <si>
    <t>Val</t>
  </si>
  <si>
    <t>Trp</t>
  </si>
  <si>
    <t>Tyr</t>
  </si>
  <si>
    <t>Orn</t>
  </si>
  <si>
    <t>#aa/prot</t>
  </si>
  <si>
    <t>g/mol prot</t>
  </si>
  <si>
    <t>mmol/g prot</t>
  </si>
  <si>
    <t>N. Nucl/mRNA</t>
  </si>
  <si>
    <t>mol/mol pRNA</t>
  </si>
  <si>
    <t>g/mol pRNA</t>
  </si>
  <si>
    <t>mmol/g pRNA</t>
  </si>
  <si>
    <t>g/mol pDNA</t>
  </si>
  <si>
    <t>mmol/g pDNA</t>
  </si>
  <si>
    <t>mol/mol pDNA</t>
  </si>
  <si>
    <t>N. Nucl/pDNA</t>
  </si>
  <si>
    <t>ROL mRNA composition</t>
  </si>
  <si>
    <t>ROL DNA composition</t>
  </si>
  <si>
    <t>Supporting Information S3 - Recombinant protein composition</t>
  </si>
  <si>
    <t>File content</t>
  </si>
  <si>
    <t>References</t>
  </si>
  <si>
    <t>ROL</t>
  </si>
  <si>
    <t>FAB 2F5 mRNA composition</t>
  </si>
  <si>
    <t>FAB 2F5 DNA composition</t>
  </si>
  <si>
    <t>mol/mol prot</t>
  </si>
  <si>
    <r>
      <t xml:space="preserve">MW 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</si>
  <si>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t xml:space="preserve">Req. ATP 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</si>
  <si>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t>MW</t>
    </r>
    <r>
      <rPr>
        <b/>
        <vertAlign val="superscript"/>
        <sz val="11"/>
        <color theme="1"/>
        <rFont val="Calibri"/>
        <family val="2"/>
        <scheme val="minor"/>
      </rPr>
      <t xml:space="preserve"> c</t>
    </r>
  </si>
  <si>
    <r>
      <t xml:space="preserve">Req. ATP </t>
    </r>
    <r>
      <rPr>
        <b/>
        <vertAlign val="superscript"/>
        <sz val="11"/>
        <color theme="1"/>
        <rFont val="Calibri"/>
        <family val="2"/>
        <scheme val="minor"/>
      </rPr>
      <t>d</t>
    </r>
  </si>
  <si>
    <r>
      <t>MW</t>
    </r>
    <r>
      <rPr>
        <b/>
        <vertAlign val="superscript"/>
        <sz val="11"/>
        <color theme="1"/>
        <rFont val="Calibri"/>
        <family val="2"/>
        <scheme val="minor"/>
      </rPr>
      <t xml:space="preserve"> e</t>
    </r>
  </si>
  <si>
    <r>
      <t xml:space="preserve">Req. ATP </t>
    </r>
    <r>
      <rPr>
        <b/>
        <vertAlign val="superscript"/>
        <sz val="11"/>
        <color theme="1"/>
        <rFont val="Calibri"/>
        <family val="2"/>
        <scheme val="minor"/>
      </rPr>
      <t>f</t>
    </r>
  </si>
  <si>
    <t>FAB composition</t>
  </si>
  <si>
    <t>FAB</t>
  </si>
  <si>
    <r>
      <t xml:space="preserve">Details of the aminoacid, RNA and DNA composition of the </t>
    </r>
    <r>
      <rPr>
        <i/>
        <sz val="11"/>
        <color theme="1"/>
        <rFont val="Calibri"/>
        <family val="2"/>
        <scheme val="minor"/>
      </rPr>
      <t>Rhizopus oryzae</t>
    </r>
    <r>
      <rPr>
        <sz val="11"/>
        <color theme="1"/>
        <rFont val="Calibri"/>
        <family val="2"/>
        <scheme val="minor"/>
      </rPr>
      <t xml:space="preserve"> lipase expressed in </t>
    </r>
    <r>
      <rPr>
        <i/>
        <sz val="11"/>
        <color theme="1"/>
        <rFont val="Calibri"/>
        <family val="2"/>
        <scheme val="minor"/>
      </rPr>
      <t>P. pastoris</t>
    </r>
    <r>
      <rPr>
        <sz val="11"/>
        <color theme="1"/>
        <rFont val="Calibri"/>
        <family val="2"/>
        <scheme val="minor"/>
      </rPr>
      <t xml:space="preserve"> [2]</t>
    </r>
  </si>
  <si>
    <r>
      <t xml:space="preserve">Details of the aminoacid, RNA and DNA composition of the antibody fragment 2F5 expressed in </t>
    </r>
    <r>
      <rPr>
        <i/>
        <sz val="11"/>
        <color theme="1"/>
        <rFont val="Calibri"/>
        <family val="2"/>
        <scheme val="minor"/>
      </rPr>
      <t xml:space="preserve">P. pastoris </t>
    </r>
    <r>
      <rPr>
        <sz val="11"/>
        <color theme="1"/>
        <rFont val="Calibri"/>
        <family val="2"/>
        <scheme val="minor"/>
      </rPr>
      <t>[1]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</si>
  <si>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ATP values taken from [3]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</si>
  <si>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ATP values taken from [3]</t>
    </r>
  </si>
  <si>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ATP values taken from [3]</t>
    </r>
  </si>
  <si>
    <t>Assembling reaction</t>
  </si>
  <si>
    <t xml:space="preserve">1. </t>
  </si>
  <si>
    <r>
      <t xml:space="preserve">Gasser B, Maurer M, Gach J, Kunert R, Mattanovich D. Engineering of </t>
    </r>
    <r>
      <rPr>
        <i/>
        <sz val="11"/>
        <color theme="1"/>
        <rFont val="Calibri"/>
        <family val="2"/>
      </rPr>
      <t>Pichia pastoris</t>
    </r>
    <r>
      <rPr>
        <sz val="11"/>
        <color theme="1"/>
        <rFont val="Calibri"/>
        <family val="2"/>
      </rPr>
      <t xml:space="preserve"> for improved production of antibody fragments. Biotechnol Bioeng. 2006;94: 353–361. doi:10.1002/bit.20851</t>
    </r>
  </si>
  <si>
    <t xml:space="preserve">2. </t>
  </si>
  <si>
    <r>
      <t xml:space="preserve">Minning S, Schmidt-Dannert C, Schmid RD. Functional expression of </t>
    </r>
    <r>
      <rPr>
        <i/>
        <sz val="11"/>
        <color theme="1"/>
        <rFont val="Calibri"/>
        <family val="2"/>
      </rPr>
      <t>Rhizopus oryzae</t>
    </r>
    <r>
      <rPr>
        <sz val="11"/>
        <color theme="1"/>
        <rFont val="Calibri"/>
        <family val="2"/>
      </rPr>
      <t xml:space="preserve"> lipase in </t>
    </r>
    <r>
      <rPr>
        <i/>
        <sz val="11"/>
        <color theme="1"/>
        <rFont val="Calibri"/>
        <family val="2"/>
      </rPr>
      <t>Pichia pastoris</t>
    </r>
    <r>
      <rPr>
        <sz val="11"/>
        <color theme="1"/>
        <rFont val="Calibri"/>
        <family val="2"/>
      </rPr>
      <t>: high-level production and some properties. J Biotechnol. 1998;66: 147–156. doi:10.1016/S0168-1656(98)00142-4</t>
    </r>
  </si>
  <si>
    <t xml:space="preserve">3. </t>
  </si>
  <si>
    <t>Stephanopoulos G, Aristidou A, Nielsen J. Review of Cellular Metabolism. Metabolic Engineering. Elsevier; 1998. pp. 21–79. doi:10.1016/B978-012666260-3/50003-0</t>
  </si>
  <si>
    <t>FAB 2F5 amino acid composition</t>
  </si>
  <si>
    <t>Amino acid residue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</si>
  <si>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MW corresponds to the amino acid residue, and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MW is subtracted from the amino acid MW</t>
    </r>
  </si>
  <si>
    <t>30.6 h2o[c] + 0.336 gln_L[c] + 0.372 glu_L[c] + 39.873 atp[c] + 0.053 met_L[c] + 1.168 ser_L[c] + 0.495 ala_L[c] + 0.407 asp_L[c] + 0.637 gly[c] + 0.248 asn_L[c] + 0.336 arg_L[c] + 0.124 trp_L[c] + 0.389 phe_L[c] + 0.513 lys_L[c] + 0.283 tyr_L[c] + 0.903 thr_L[c] + 0.23 cys_L[c] + 0.726 leu_L[c] + 0.177 his_L[c] + 0.867 val_L[c] + 0.743 pro_L[c] + 0.265 ile_L[c] -&gt; 39.873 h[c] + 39.873 pi[c] + 39.873 adp[c] + fabAA[c]</t>
  </si>
  <si>
    <t>4.352 h2o[c] + 7.46 atp[c] + 0.673 amp[c] + 0.728 ump[c] + 0.961 gmp[c] + 0.782 cmp[c] -&gt; 7.46 h[c] + 7.46 pi[c] + 7.46 adp[c] + fabRNA[c]</t>
  </si>
  <si>
    <t>7.819 h2o[c] + 11.077 atp[c] + 0.763 damp[c] + 0.668 dtmp[c] + 1.007 dcmp[c] + 0.819 dgmp[c] -&gt; 11.077 h[c] + 11.077 pi[c] + 11.077 adp[c] + fabDNA[c]</t>
  </si>
  <si>
    <t>0.997 fabAA[c] + 0.003 fabRNA[c] + 2.84e-005 fabDNA[c] -&gt; fab[c]</t>
  </si>
  <si>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MW corresponds to the deoxynucleotide monophosphate residue, and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is subtracted from the deoxynucleotide monophosphate. In this case, OH is substracted due to the charged form of the deoxynucleotide and considering DNA as a polyanion at pH 7.3</t>
    </r>
  </si>
  <si>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MW corresponds to the deoxynucleotide monophosphate residue, and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is subtracted from the deoxynucleotide monophosphate. In this case, OH is subtracted due to the charged form of the deoxynucleotide and considering DNA as a polyanion at pH 7.3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</si>
  <si>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MW corresponds to the nucleotide monophosphate residue, and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is subtracted from the ribonucleotide monophosphate. In this case, OH is subtracted due to the charged form of the nucleotide and considering RNA as a polyanion at pH 7.3</t>
    </r>
  </si>
  <si>
    <t>30.062 h2o[c] + 0.44 gln_L[c] + 0.305 glu_L[c] + 39.172 atp[c] + 0.034 met_L[c] + 0.813 ser_L[c] + 0.508 ala_L[c] + 0.44 asp_L[c] + 0.711 gly[c] + 0.373 asn_L[c] + 0.305 arg_L[c] + 0.102 trp_L[c] + 0.508 phe_L[c] + 0.508 lys_L[c] + 0.406 tyr_L[c] + 0.745 thr_L[c] + 0.203 cys_L[c] + 0.576 leu_L[c] + 0.203 his_L[c] + 0.88 val_L[c] + 0.508 pro_L[c] + 0.542 ile_L[c] -&gt; 39.172 h[c] + 39.172 pi[c] + 39.172 adp[c] + fabAA[c]</t>
  </si>
  <si>
    <t>4.342 h2o[c] + 7.444 atp[c] + 0.977 amp[c] + 0.716 ump[c] + 0.808 gmp[c] + 0.601 cmp[c] -&gt; 7.444 h[c] + 7.444 pi[c] + 7.444 adp[c] + fabRNA[c]</t>
  </si>
  <si>
    <t>7.838 h2o[c] + 11.104 atp[c] + 0.754 damp[c] + 1.028 dtmp[c] + 0.851 dcmp[c] + 0.633 dgmp[c] -&gt; 11.104 h[c] + 11.104 pi[c] + 11.104 adp[c] + fabDNA[c]</t>
  </si>
  <si>
    <t>0.997 rolAA[c] + 0.003 rolRNA[c] + 2.84e-005 rolDNA[c] -&gt; rol[c]</t>
  </si>
  <si>
    <t>ROL amino acid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</si>
</sst>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11"/>
      <color indexed="8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>
      <alignment vertical="center"/>
    </xf>
    <xf numFmtId="0" fontId="20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/>
    <xf numFmtId="0" fontId="19" fillId="0" borderId="0">
      <alignment vertical="center"/>
    </xf>
    <xf numFmtId="0" fontId="20" fillId="0" borderId="0" applyNumberFormat="0" applyFont="0" applyFill="0" applyBorder="0" applyAlignment="0" applyProtection="0"/>
    <xf numFmtId="0" fontId="1" fillId="0" borderId="0"/>
    <xf numFmtId="0" fontId="23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5" fillId="0" borderId="0"/>
  </cellStyleXfs>
  <cellXfs count="66">
    <xf numFmtId="0" fontId="0" fillId="0" borderId="0" xfId="0"/>
    <xf numFmtId="0" fontId="16" fillId="0" borderId="10" xfId="0" applyFont="1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16" fillId="0" borderId="10" xfId="0" applyFont="1" applyBorder="1" applyAlignment="1">
      <alignment horizontal="center"/>
    </xf>
    <xf numFmtId="0" fontId="0" fillId="0" borderId="12" xfId="0" applyBorder="1"/>
    <xf numFmtId="164" fontId="0" fillId="0" borderId="0" xfId="0" applyNumberFormat="1"/>
    <xf numFmtId="0" fontId="0" fillId="0" borderId="11" xfId="0" applyBorder="1"/>
    <xf numFmtId="0" fontId="16" fillId="0" borderId="10" xfId="0" applyFont="1" applyBorder="1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0" fillId="0" borderId="0" xfId="0"/>
    <xf numFmtId="0" fontId="16" fillId="0" borderId="10" xfId="0" applyFont="1" applyBorder="1"/>
    <xf numFmtId="0" fontId="0" fillId="0" borderId="11" xfId="0" applyBorder="1"/>
    <xf numFmtId="164" fontId="0" fillId="0" borderId="0" xfId="0" applyNumberFormat="1"/>
    <xf numFmtId="0" fontId="0" fillId="0" borderId="10" xfId="0" applyBorder="1"/>
    <xf numFmtId="0" fontId="0" fillId="0" borderId="0" xfId="0"/>
    <xf numFmtId="0" fontId="0" fillId="0" borderId="0" xfId="0"/>
    <xf numFmtId="0" fontId="0" fillId="0" borderId="0" xfId="0" applyFill="1"/>
    <xf numFmtId="0" fontId="16" fillId="0" borderId="0" xfId="0" applyFont="1"/>
    <xf numFmtId="0" fontId="16" fillId="0" borderId="10" xfId="0" applyFont="1" applyBorder="1" applyAlignment="1">
      <alignment horizontal="left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16" fillId="0" borderId="0" xfId="0" applyNumberFormat="1" applyFont="1" applyAlignment="1">
      <alignment horizontal="center"/>
    </xf>
    <xf numFmtId="1" fontId="0" fillId="0" borderId="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0" xfId="0"/>
    <xf numFmtId="0" fontId="16" fillId="0" borderId="0" xfId="0" applyFont="1"/>
    <xf numFmtId="164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/>
    <xf numFmtId="0" fontId="16" fillId="0" borderId="10" xfId="0" applyFont="1" applyBorder="1"/>
    <xf numFmtId="0" fontId="16" fillId="0" borderId="0" xfId="0" applyFont="1"/>
    <xf numFmtId="164" fontId="0" fillId="0" borderId="0" xfId="0" applyNumberFormat="1"/>
    <xf numFmtId="0" fontId="0" fillId="0" borderId="0" xfId="0"/>
    <xf numFmtId="0" fontId="16" fillId="0" borderId="10" xfId="0" applyFont="1" applyBorder="1"/>
    <xf numFmtId="0" fontId="0" fillId="0" borderId="0" xfId="0" applyBorder="1"/>
    <xf numFmtId="0" fontId="0" fillId="0" borderId="11" xfId="0" applyBorder="1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2" xfId="0" applyBorder="1"/>
    <xf numFmtId="164" fontId="0" fillId="0" borderId="0" xfId="0" applyNumberFormat="1"/>
    <xf numFmtId="0" fontId="0" fillId="0" borderId="0" xfId="0" applyFill="1"/>
    <xf numFmtId="0" fontId="16" fillId="0" borderId="10" xfId="0" applyFont="1" applyFill="1" applyBorder="1" applyAlignment="1">
      <alignment horizont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5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 2" xfId="5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2 2" xfId="47"/>
    <cellStyle name="Normal 2 2 2" xfId="53"/>
    <cellStyle name="Normal 2 3" xfId="46"/>
    <cellStyle name="Normal 3" xfId="44"/>
    <cellStyle name="Normal 4" xfId="45"/>
    <cellStyle name="Normal 4 2" xfId="49"/>
    <cellStyle name="Normal 4 3" xfId="48"/>
    <cellStyle name="Normal 5" xfId="43"/>
    <cellStyle name="Normal 5 2" xfId="52"/>
    <cellStyle name="Normal 6" xfId="5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workbookViewId="0">
      <selection activeCell="F23" sqref="F23"/>
    </sheetView>
  </sheetViews>
  <sheetFormatPr baseColWidth="10" defaultRowHeight="15"/>
  <cols>
    <col min="2" max="2" width="4.7109375" customWidth="1"/>
  </cols>
  <sheetData>
    <row r="1" spans="1:4">
      <c r="A1" s="23" t="s">
        <v>39</v>
      </c>
    </row>
    <row r="3" spans="1:4">
      <c r="B3" s="23" t="s">
        <v>40</v>
      </c>
    </row>
    <row r="4" spans="1:4" s="47" customFormat="1">
      <c r="B4" s="51"/>
    </row>
    <row r="5" spans="1:4">
      <c r="C5" s="45" t="s">
        <v>53</v>
      </c>
      <c r="D5" t="s">
        <v>55</v>
      </c>
    </row>
    <row r="7" spans="1:4">
      <c r="C7" s="45" t="s">
        <v>42</v>
      </c>
      <c r="D7" t="s">
        <v>54</v>
      </c>
    </row>
    <row r="9" spans="1:4" s="47" customFormat="1"/>
    <row r="10" spans="1:4" s="47" customFormat="1"/>
    <row r="13" spans="1:4">
      <c r="B13" s="23" t="s">
        <v>41</v>
      </c>
    </row>
    <row r="15" spans="1:4">
      <c r="C15" s="58" t="s">
        <v>60</v>
      </c>
      <c r="D15" s="57" t="s">
        <v>61</v>
      </c>
    </row>
    <row r="16" spans="1:4">
      <c r="C16" s="58"/>
    </row>
    <row r="17" spans="3:4">
      <c r="C17" s="58" t="s">
        <v>62</v>
      </c>
      <c r="D17" s="57" t="s">
        <v>63</v>
      </c>
    </row>
    <row r="18" spans="3:4">
      <c r="C18" s="32"/>
    </row>
    <row r="19" spans="3:4">
      <c r="C19" s="32" t="s">
        <v>64</v>
      </c>
      <c r="D1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8"/>
  <sheetViews>
    <sheetView topLeftCell="A38" workbookViewId="0">
      <selection activeCell="D47" sqref="D47"/>
    </sheetView>
  </sheetViews>
  <sheetFormatPr baseColWidth="10" defaultRowHeight="17.25" customHeight="1"/>
  <cols>
    <col min="5" max="5" width="11.42578125" style="2"/>
    <col min="7" max="7" width="12" bestFit="1" customWidth="1"/>
  </cols>
  <sheetData>
    <row r="1" spans="2:12" s="47" customFormat="1" ht="17.25" customHeight="1">
      <c r="B1" s="51" t="s">
        <v>52</v>
      </c>
    </row>
    <row r="2" spans="2:12" s="21" customFormat="1" ht="17.25" customHeight="1"/>
    <row r="3" spans="2:12" ht="17.25" customHeight="1">
      <c r="C3" s="23" t="s">
        <v>66</v>
      </c>
    </row>
    <row r="4" spans="2:12" s="21" customFormat="1" ht="17.25" customHeight="1">
      <c r="C4" s="23"/>
    </row>
    <row r="5" spans="2:12" ht="17.25" customHeight="1">
      <c r="D5" s="24" t="s">
        <v>67</v>
      </c>
      <c r="E5" s="4" t="s">
        <v>26</v>
      </c>
      <c r="F5" s="4" t="s">
        <v>45</v>
      </c>
      <c r="G5" s="4" t="s">
        <v>46</v>
      </c>
      <c r="H5" s="8" t="s">
        <v>27</v>
      </c>
      <c r="I5" s="1" t="s">
        <v>28</v>
      </c>
    </row>
    <row r="6" spans="2:12" ht="17.25" customHeight="1">
      <c r="D6" s="5" t="s">
        <v>5</v>
      </c>
      <c r="E6" s="25">
        <v>28</v>
      </c>
      <c r="F6" s="26">
        <f t="shared" ref="F6:F26" si="0">E6/E$27</f>
        <v>5.3435114503816793E-2</v>
      </c>
      <c r="G6" s="27">
        <v>71.077939999999998</v>
      </c>
      <c r="H6" s="27">
        <f>F6*G6</f>
        <v>3.7980578625954196</v>
      </c>
      <c r="I6" s="27">
        <f>F6/H$27*1000</f>
        <v>0.49549686959057881</v>
      </c>
      <c r="J6" s="6"/>
      <c r="K6" s="10"/>
    </row>
    <row r="7" spans="2:12" ht="17.25" customHeight="1">
      <c r="D7" s="3" t="s">
        <v>19</v>
      </c>
      <c r="E7" s="28">
        <v>19</v>
      </c>
      <c r="F7" s="29">
        <f t="shared" si="0"/>
        <v>3.6259541984732822E-2</v>
      </c>
      <c r="G7" s="27">
        <v>156.18584000000001</v>
      </c>
      <c r="H7" s="27">
        <f t="shared" ref="H7:H26" si="1">F7*G7</f>
        <v>5.6632270229007631</v>
      </c>
      <c r="I7" s="27">
        <f t="shared" ref="I7:I26" si="2">F7/H$27*1000</f>
        <v>0.33623001865074992</v>
      </c>
      <c r="J7" s="14"/>
      <c r="K7" s="10"/>
      <c r="L7" s="10"/>
    </row>
    <row r="8" spans="2:12" ht="17.25" customHeight="1">
      <c r="D8" s="3" t="s">
        <v>16</v>
      </c>
      <c r="E8" s="28">
        <v>14</v>
      </c>
      <c r="F8" s="29">
        <f t="shared" si="0"/>
        <v>2.6717557251908396E-2</v>
      </c>
      <c r="G8" s="27">
        <v>114.10272000000001</v>
      </c>
      <c r="H8" s="27">
        <f t="shared" si="1"/>
        <v>3.0485459541984734</v>
      </c>
      <c r="I8" s="27">
        <f t="shared" si="2"/>
        <v>0.24774843479528941</v>
      </c>
      <c r="J8" s="14"/>
      <c r="K8" s="10"/>
      <c r="L8" s="10"/>
    </row>
    <row r="9" spans="2:12" ht="17.25" customHeight="1">
      <c r="D9" s="3" t="s">
        <v>7</v>
      </c>
      <c r="E9" s="28">
        <v>23</v>
      </c>
      <c r="F9" s="29">
        <f t="shared" si="0"/>
        <v>4.3893129770992363E-2</v>
      </c>
      <c r="G9" s="27">
        <v>114.0795</v>
      </c>
      <c r="H9" s="27">
        <f t="shared" si="1"/>
        <v>5.0073062977099232</v>
      </c>
      <c r="I9" s="27">
        <f t="shared" si="2"/>
        <v>0.4070152857351183</v>
      </c>
      <c r="J9" s="14"/>
      <c r="K9" s="10"/>
      <c r="L9" s="10"/>
    </row>
    <row r="10" spans="2:12" ht="17.25" customHeight="1">
      <c r="D10" s="3" t="s">
        <v>6</v>
      </c>
      <c r="E10" s="28">
        <v>13</v>
      </c>
      <c r="F10" s="29">
        <f t="shared" si="0"/>
        <v>2.4809160305343511E-2</v>
      </c>
      <c r="G10" s="27">
        <v>103.14394</v>
      </c>
      <c r="H10" s="27">
        <f t="shared" si="1"/>
        <v>2.5589145419847328</v>
      </c>
      <c r="I10" s="27">
        <f t="shared" si="2"/>
        <v>0.23005211802419731</v>
      </c>
      <c r="J10" s="14"/>
      <c r="K10" s="10"/>
      <c r="L10" s="10"/>
    </row>
    <row r="11" spans="2:12" ht="17.25" customHeight="1">
      <c r="D11" s="3" t="s">
        <v>18</v>
      </c>
      <c r="E11" s="28">
        <v>19</v>
      </c>
      <c r="F11" s="29">
        <f t="shared" si="0"/>
        <v>3.6259541984732822E-2</v>
      </c>
      <c r="G11" s="27">
        <v>128.1293</v>
      </c>
      <c r="H11" s="27">
        <f t="shared" si="1"/>
        <v>4.6459097328244274</v>
      </c>
      <c r="I11" s="27">
        <f t="shared" si="2"/>
        <v>0.33623001865074992</v>
      </c>
      <c r="J11" s="14"/>
      <c r="K11" s="10"/>
      <c r="L11" s="10"/>
    </row>
    <row r="12" spans="2:12" ht="17.25" customHeight="1">
      <c r="D12" s="3" t="s">
        <v>8</v>
      </c>
      <c r="E12" s="28">
        <v>21</v>
      </c>
      <c r="F12" s="29">
        <f t="shared" si="0"/>
        <v>4.0076335877862593E-2</v>
      </c>
      <c r="G12" s="27">
        <v>128.10607999999999</v>
      </c>
      <c r="H12" s="27">
        <f t="shared" si="1"/>
        <v>5.1340222900763353</v>
      </c>
      <c r="I12" s="27">
        <f t="shared" si="2"/>
        <v>0.37162265219293411</v>
      </c>
      <c r="J12" s="14"/>
      <c r="K12" s="10"/>
      <c r="L12" s="10"/>
    </row>
    <row r="13" spans="2:12" ht="17.25" customHeight="1">
      <c r="D13" s="3" t="s">
        <v>10</v>
      </c>
      <c r="E13" s="28">
        <v>36</v>
      </c>
      <c r="F13" s="29">
        <f t="shared" si="0"/>
        <v>6.8702290076335881E-2</v>
      </c>
      <c r="G13" s="27">
        <v>57.051360000000003</v>
      </c>
      <c r="H13" s="27">
        <f t="shared" si="1"/>
        <v>3.9195590839694661</v>
      </c>
      <c r="I13" s="27">
        <f t="shared" si="2"/>
        <v>0.6370674037593157</v>
      </c>
      <c r="J13" s="14"/>
      <c r="K13" s="10"/>
      <c r="L13" s="10"/>
    </row>
    <row r="14" spans="2:12" ht="17.25" customHeight="1">
      <c r="D14" s="3" t="s">
        <v>11</v>
      </c>
      <c r="E14" s="28">
        <v>10</v>
      </c>
      <c r="F14" s="29">
        <f t="shared" si="0"/>
        <v>1.9083969465648856E-2</v>
      </c>
      <c r="G14" s="27">
        <v>137.13940000000002</v>
      </c>
      <c r="H14" s="27">
        <f t="shared" si="1"/>
        <v>2.6171641221374049</v>
      </c>
      <c r="I14" s="27">
        <f t="shared" si="2"/>
        <v>0.17696316771092102</v>
      </c>
      <c r="J14" s="14"/>
      <c r="K14" s="10"/>
      <c r="L14" s="10"/>
    </row>
    <row r="15" spans="2:12" ht="17.25" customHeight="1">
      <c r="D15" s="3" t="s">
        <v>12</v>
      </c>
      <c r="E15" s="28">
        <v>15</v>
      </c>
      <c r="F15" s="29">
        <f t="shared" si="0"/>
        <v>2.8625954198473282E-2</v>
      </c>
      <c r="G15" s="27">
        <v>113.15767999999998</v>
      </c>
      <c r="H15" s="27">
        <f t="shared" si="1"/>
        <v>3.2392465648854958</v>
      </c>
      <c r="I15" s="27">
        <f t="shared" si="2"/>
        <v>0.26544475156638148</v>
      </c>
      <c r="J15" s="14"/>
      <c r="K15" s="10"/>
      <c r="L15" s="10"/>
    </row>
    <row r="16" spans="2:12" ht="17.25" customHeight="1">
      <c r="D16" s="3" t="s">
        <v>14</v>
      </c>
      <c r="E16" s="28">
        <v>41</v>
      </c>
      <c r="F16" s="29">
        <f t="shared" si="0"/>
        <v>7.8244274809160311E-2</v>
      </c>
      <c r="G16" s="27">
        <v>113.15767999999998</v>
      </c>
      <c r="H16" s="27">
        <f t="shared" si="1"/>
        <v>8.8539406106870224</v>
      </c>
      <c r="I16" s="27">
        <f t="shared" si="2"/>
        <v>0.72554898761477626</v>
      </c>
      <c r="J16" s="14"/>
      <c r="K16" s="10"/>
      <c r="L16" s="10"/>
    </row>
    <row r="17" spans="4:12" ht="17.25" customHeight="1">
      <c r="D17" s="3" t="s">
        <v>13</v>
      </c>
      <c r="E17" s="28">
        <v>29</v>
      </c>
      <c r="F17" s="29">
        <f t="shared" si="0"/>
        <v>5.5343511450381681E-2</v>
      </c>
      <c r="G17" s="27">
        <v>128.17236</v>
      </c>
      <c r="H17" s="27">
        <f t="shared" si="1"/>
        <v>7.0935084732824425</v>
      </c>
      <c r="I17" s="27">
        <f t="shared" si="2"/>
        <v>0.51319318636167099</v>
      </c>
      <c r="J17" s="14"/>
      <c r="K17" s="10"/>
      <c r="L17" s="10"/>
    </row>
    <row r="18" spans="4:12" ht="17.25" customHeight="1">
      <c r="D18" s="3" t="s">
        <v>15</v>
      </c>
      <c r="E18" s="28">
        <v>3</v>
      </c>
      <c r="F18" s="29">
        <f t="shared" si="0"/>
        <v>5.7251908396946565E-3</v>
      </c>
      <c r="G18" s="27">
        <v>131.19709999999998</v>
      </c>
      <c r="H18" s="27">
        <f t="shared" si="1"/>
        <v>0.75112843511450367</v>
      </c>
      <c r="I18" s="27">
        <f t="shared" si="2"/>
        <v>5.3088950313276304E-2</v>
      </c>
      <c r="J18" s="14"/>
      <c r="K18" s="10"/>
      <c r="L18" s="10"/>
    </row>
    <row r="19" spans="4:12" ht="17.25" customHeight="1">
      <c r="D19" s="3" t="s">
        <v>25</v>
      </c>
      <c r="E19" s="28">
        <v>0</v>
      </c>
      <c r="F19" s="29">
        <f t="shared" si="0"/>
        <v>0</v>
      </c>
      <c r="G19" s="27">
        <v>114.14578</v>
      </c>
      <c r="H19" s="27">
        <f t="shared" si="1"/>
        <v>0</v>
      </c>
      <c r="I19" s="27">
        <f t="shared" si="2"/>
        <v>0</v>
      </c>
      <c r="J19" s="14"/>
      <c r="K19" s="10"/>
      <c r="L19" s="10"/>
    </row>
    <row r="20" spans="4:12" ht="17.25" customHeight="1">
      <c r="D20" s="3" t="s">
        <v>9</v>
      </c>
      <c r="E20" s="28">
        <v>22</v>
      </c>
      <c r="F20" s="29">
        <f t="shared" si="0"/>
        <v>4.1984732824427481E-2</v>
      </c>
      <c r="G20" s="27">
        <v>147.1739</v>
      </c>
      <c r="H20" s="27">
        <f t="shared" si="1"/>
        <v>6.1790568702290081</v>
      </c>
      <c r="I20" s="27">
        <f t="shared" si="2"/>
        <v>0.38931896896402624</v>
      </c>
      <c r="J20" s="14"/>
      <c r="K20" s="10"/>
      <c r="L20" s="10"/>
    </row>
    <row r="21" spans="4:12" ht="17.25" customHeight="1">
      <c r="D21" s="3" t="s">
        <v>17</v>
      </c>
      <c r="E21" s="28">
        <v>42</v>
      </c>
      <c r="F21" s="29">
        <f t="shared" si="0"/>
        <v>8.0152671755725186E-2</v>
      </c>
      <c r="G21" s="27">
        <v>97.115220000000008</v>
      </c>
      <c r="H21" s="27">
        <f t="shared" si="1"/>
        <v>7.7840443511450381</v>
      </c>
      <c r="I21" s="27">
        <f t="shared" si="2"/>
        <v>0.74324530438586822</v>
      </c>
      <c r="J21" s="14"/>
      <c r="K21" s="10"/>
      <c r="L21" s="10"/>
    </row>
    <row r="22" spans="4:12" ht="17.25" customHeight="1">
      <c r="D22" s="3" t="s">
        <v>20</v>
      </c>
      <c r="E22" s="28">
        <v>66</v>
      </c>
      <c r="F22" s="29">
        <f t="shared" si="0"/>
        <v>0.12595419847328243</v>
      </c>
      <c r="G22" s="27">
        <v>87.077339999999992</v>
      </c>
      <c r="H22" s="27">
        <f t="shared" si="1"/>
        <v>10.967756564885494</v>
      </c>
      <c r="I22" s="27">
        <f t="shared" si="2"/>
        <v>1.1679569068920785</v>
      </c>
      <c r="J22" s="14"/>
      <c r="K22" s="10"/>
      <c r="L22" s="10"/>
    </row>
    <row r="23" spans="4:12" ht="17.25" customHeight="1">
      <c r="D23" s="3" t="s">
        <v>21</v>
      </c>
      <c r="E23" s="28">
        <v>51</v>
      </c>
      <c r="F23" s="29">
        <f t="shared" si="0"/>
        <v>9.7328244274809156E-2</v>
      </c>
      <c r="G23" s="27">
        <v>101.10392</v>
      </c>
      <c r="H23" s="27">
        <f t="shared" si="1"/>
        <v>9.8402670229007629</v>
      </c>
      <c r="I23" s="27">
        <f t="shared" si="2"/>
        <v>0.90251215532569717</v>
      </c>
      <c r="J23" s="14"/>
      <c r="K23" s="10"/>
      <c r="L23" s="10"/>
    </row>
    <row r="24" spans="4:12" ht="17.25" customHeight="1">
      <c r="D24" s="3" t="s">
        <v>23</v>
      </c>
      <c r="E24" s="28">
        <v>7</v>
      </c>
      <c r="F24" s="29">
        <f t="shared" si="0"/>
        <v>1.3358778625954198E-2</v>
      </c>
      <c r="G24" s="27">
        <v>186.20998</v>
      </c>
      <c r="H24" s="27">
        <f t="shared" si="1"/>
        <v>2.4875379007633587</v>
      </c>
      <c r="I24" s="27">
        <f t="shared" si="2"/>
        <v>0.1238742173976447</v>
      </c>
      <c r="J24" s="14"/>
      <c r="K24" s="10"/>
      <c r="L24" s="10"/>
    </row>
    <row r="25" spans="4:12" ht="17.25" customHeight="1">
      <c r="D25" s="3" t="s">
        <v>24</v>
      </c>
      <c r="E25" s="28">
        <v>16</v>
      </c>
      <c r="F25" s="29">
        <f t="shared" si="0"/>
        <v>3.0534351145038167E-2</v>
      </c>
      <c r="G25" s="27">
        <v>163.17329999999998</v>
      </c>
      <c r="H25" s="27">
        <f t="shared" si="1"/>
        <v>4.9823908396946557</v>
      </c>
      <c r="I25" s="27">
        <f t="shared" si="2"/>
        <v>0.28314106833747366</v>
      </c>
      <c r="J25" s="14"/>
      <c r="K25" s="10"/>
      <c r="L25" s="10"/>
    </row>
    <row r="26" spans="4:12" ht="17.25" customHeight="1">
      <c r="D26" s="7" t="s">
        <v>22</v>
      </c>
      <c r="E26" s="30">
        <v>49</v>
      </c>
      <c r="F26" s="31">
        <f t="shared" si="0"/>
        <v>9.3511450381679392E-2</v>
      </c>
      <c r="G26" s="31">
        <v>99.131099999999989</v>
      </c>
      <c r="H26" s="31">
        <f t="shared" si="1"/>
        <v>9.2698929389312976</v>
      </c>
      <c r="I26" s="31">
        <f t="shared" si="2"/>
        <v>0.86711952178351304</v>
      </c>
      <c r="J26" s="14"/>
      <c r="K26" s="10"/>
      <c r="L26" s="10"/>
    </row>
    <row r="27" spans="4:12" ht="17.25" customHeight="1">
      <c r="D27" s="41"/>
      <c r="E27" s="42">
        <f>SUM(E6:E26)</f>
        <v>524</v>
      </c>
      <c r="F27" s="35">
        <f>SUM(F6:F26)</f>
        <v>1</v>
      </c>
      <c r="G27" s="42"/>
      <c r="H27" s="35">
        <f>SUM(H6:H26)</f>
        <v>107.84147748091603</v>
      </c>
      <c r="I27" s="35">
        <f>SUM(I6:I26)</f>
        <v>9.2728699880522623</v>
      </c>
      <c r="J27" s="6"/>
    </row>
    <row r="28" spans="4:12" s="10" customFormat="1" ht="17.25" customHeight="1">
      <c r="E28" s="32"/>
      <c r="F28" s="27"/>
      <c r="G28" s="32"/>
      <c r="H28" s="33" t="s">
        <v>47</v>
      </c>
      <c r="I28" s="27">
        <f>I27*4.3</f>
        <v>39.873340948624723</v>
      </c>
    </row>
    <row r="29" spans="4:12" s="21" customFormat="1" ht="17.25" customHeight="1">
      <c r="D29" s="38" t="s">
        <v>68</v>
      </c>
      <c r="E29" s="32"/>
      <c r="F29" s="27"/>
      <c r="G29" s="32"/>
      <c r="H29" s="33"/>
      <c r="I29" s="27"/>
    </row>
    <row r="30" spans="4:12" s="21" customFormat="1" ht="17.25" customHeight="1">
      <c r="D30" s="38" t="s">
        <v>56</v>
      </c>
      <c r="E30" s="32"/>
      <c r="F30" s="27"/>
      <c r="G30" s="32"/>
      <c r="H30" s="33"/>
      <c r="I30" s="27"/>
    </row>
    <row r="31" spans="4:12" s="38" customFormat="1" ht="17.25" customHeight="1">
      <c r="E31" s="32"/>
      <c r="F31" s="27"/>
      <c r="G31" s="32"/>
      <c r="H31" s="33"/>
      <c r="I31" s="27"/>
    </row>
    <row r="32" spans="4:12" s="10" customFormat="1" ht="17.25" customHeight="1">
      <c r="D32" s="47" t="s">
        <v>69</v>
      </c>
      <c r="F32" s="14"/>
      <c r="H32" s="14"/>
      <c r="I32" s="14"/>
    </row>
    <row r="33" spans="3:18" s="10" customFormat="1" ht="17.25" customHeight="1">
      <c r="F33" s="14"/>
      <c r="H33" s="14"/>
      <c r="I33" s="14"/>
    </row>
    <row r="34" spans="3:18" s="21" customFormat="1" ht="17.25" customHeight="1">
      <c r="D34" s="22"/>
      <c r="F34" s="18"/>
      <c r="H34" s="18"/>
      <c r="I34" s="18"/>
    </row>
    <row r="35" spans="3:18" ht="17.25" customHeight="1">
      <c r="C35" s="23" t="s">
        <v>43</v>
      </c>
      <c r="I35" s="9"/>
    </row>
    <row r="36" spans="3:18" s="21" customFormat="1" ht="17.25" customHeight="1">
      <c r="I36" s="18"/>
    </row>
    <row r="37" spans="3:18" ht="17.25" customHeight="1">
      <c r="D37" s="19"/>
      <c r="E37" s="16" t="s">
        <v>29</v>
      </c>
      <c r="F37" s="16" t="s">
        <v>30</v>
      </c>
      <c r="G37" s="1" t="s">
        <v>48</v>
      </c>
      <c r="H37" s="16" t="s">
        <v>31</v>
      </c>
      <c r="I37" s="16" t="s">
        <v>32</v>
      </c>
    </row>
    <row r="38" spans="3:18" ht="17.25" customHeight="1">
      <c r="D38" s="13" t="s">
        <v>0</v>
      </c>
      <c r="E38" s="25">
        <v>323</v>
      </c>
      <c r="F38" s="26">
        <f>E38/E$42</f>
        <v>0.20507936507936508</v>
      </c>
      <c r="G38" s="26">
        <v>328.19820000000004</v>
      </c>
      <c r="H38" s="26">
        <f>F38*G38</f>
        <v>67.306678476190484</v>
      </c>
      <c r="I38" s="26">
        <f>F38/H$42*1000</f>
        <v>0.63747280954513019</v>
      </c>
    </row>
    <row r="39" spans="3:18" ht="17.25" customHeight="1">
      <c r="D39" s="11" t="s">
        <v>1</v>
      </c>
      <c r="E39" s="63">
        <v>396</v>
      </c>
      <c r="F39" s="29">
        <f>E39/E$42</f>
        <v>0.25142857142857145</v>
      </c>
      <c r="G39" s="29">
        <v>304.17341999999996</v>
      </c>
      <c r="H39" s="29">
        <f>F39*G39</f>
        <v>76.477888457142853</v>
      </c>
      <c r="I39" s="29">
        <f>F39/H$42*1000</f>
        <v>0.78154561170238879</v>
      </c>
    </row>
    <row r="40" spans="3:18" ht="17.25" customHeight="1">
      <c r="D40" s="11" t="s">
        <v>2</v>
      </c>
      <c r="E40" s="63">
        <v>487</v>
      </c>
      <c r="F40" s="29">
        <f>E40/E$42</f>
        <v>0.30920634920634921</v>
      </c>
      <c r="G40" s="29">
        <v>344.19759999999997</v>
      </c>
      <c r="H40" s="29">
        <f>F40*G40</f>
        <v>106.42808330158729</v>
      </c>
      <c r="I40" s="29">
        <f>F40/H$42*1000</f>
        <v>0.96114321439157402</v>
      </c>
    </row>
    <row r="41" spans="3:18" ht="17.25" customHeight="1">
      <c r="D41" s="12" t="s">
        <v>4</v>
      </c>
      <c r="E41" s="62">
        <v>369</v>
      </c>
      <c r="F41" s="31">
        <f>E41/E$42</f>
        <v>0.23428571428571429</v>
      </c>
      <c r="G41" s="31">
        <v>305.15814</v>
      </c>
      <c r="H41" s="31">
        <f>F41*G41</f>
        <v>71.494192800000008</v>
      </c>
      <c r="I41" s="31">
        <f>F41/H$42*1000</f>
        <v>0.72825841090449861</v>
      </c>
    </row>
    <row r="42" spans="3:18" ht="17.25" customHeight="1">
      <c r="D42" s="41"/>
      <c r="E42" s="61">
        <f>SUM(E38:E41)</f>
        <v>1575</v>
      </c>
      <c r="F42" s="61">
        <f>E42/E$42</f>
        <v>1</v>
      </c>
      <c r="G42" s="61"/>
      <c r="H42" s="35">
        <f>SUM(H38:H41)</f>
        <v>321.70684303492067</v>
      </c>
      <c r="I42" s="35">
        <f>SUM(I38:I41)</f>
        <v>3.1084200465435918</v>
      </c>
    </row>
    <row r="43" spans="3:18" ht="17.25" customHeight="1">
      <c r="E43" s="32"/>
      <c r="F43" s="32"/>
      <c r="G43" s="32"/>
      <c r="H43" s="33" t="s">
        <v>49</v>
      </c>
      <c r="I43" s="27">
        <f>I42*2.4</f>
        <v>7.4602081117046204</v>
      </c>
    </row>
    <row r="44" spans="3:18" s="38" customFormat="1" ht="17.25" customHeight="1">
      <c r="H44" s="39"/>
      <c r="I44" s="40"/>
    </row>
    <row r="45" spans="3:18" s="38" customFormat="1" ht="17.25" customHeight="1">
      <c r="D45" s="64" t="s">
        <v>75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</row>
    <row r="46" spans="3:18" s="38" customFormat="1" ht="17.25" customHeight="1"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</row>
    <row r="47" spans="3:18" s="15" customFormat="1" ht="17.25" customHeight="1">
      <c r="D47" s="43" t="s">
        <v>57</v>
      </c>
      <c r="H47" s="18"/>
      <c r="I47" s="18"/>
    </row>
    <row r="48" spans="3:18" s="43" customFormat="1" ht="17.25" customHeight="1">
      <c r="H48" s="46"/>
      <c r="I48" s="46"/>
    </row>
    <row r="49" spans="3:17" s="20" customFormat="1" ht="17.25" customHeight="1">
      <c r="D49" s="47" t="s">
        <v>70</v>
      </c>
      <c r="H49" s="18"/>
      <c r="I49" s="18"/>
    </row>
    <row r="50" spans="3:17" s="20" customFormat="1" ht="17.25" customHeight="1">
      <c r="H50" s="18"/>
      <c r="I50" s="18"/>
    </row>
    <row r="51" spans="3:17" s="15" customFormat="1" ht="17.25" customHeight="1">
      <c r="C51" s="23" t="s">
        <v>44</v>
      </c>
      <c r="I51" s="18"/>
    </row>
    <row r="52" spans="3:17" ht="17.25" customHeight="1">
      <c r="D52" s="19"/>
      <c r="E52" s="16" t="s">
        <v>36</v>
      </c>
      <c r="F52" s="44" t="s">
        <v>35</v>
      </c>
      <c r="G52" s="56" t="s">
        <v>50</v>
      </c>
      <c r="H52" s="16" t="s">
        <v>33</v>
      </c>
      <c r="I52" s="16" t="s">
        <v>34</v>
      </c>
    </row>
    <row r="53" spans="3:17" ht="17.25" customHeight="1">
      <c r="D53" s="10" t="s">
        <v>0</v>
      </c>
      <c r="E53" s="25">
        <v>369</v>
      </c>
      <c r="F53" s="26">
        <f>E53/E$57</f>
        <v>0.23428571428571429</v>
      </c>
      <c r="G53" s="26">
        <v>312.19880000000001</v>
      </c>
      <c r="H53" s="26">
        <f>F53*G53</f>
        <v>73.143718857142858</v>
      </c>
      <c r="I53" s="26">
        <f>F53/H$57*1000</f>
        <v>0.76328385320243197</v>
      </c>
    </row>
    <row r="54" spans="3:17" ht="17.25" customHeight="1">
      <c r="D54" s="10" t="s">
        <v>1</v>
      </c>
      <c r="E54" s="63">
        <v>487</v>
      </c>
      <c r="F54" s="29">
        <f>E54/E$57</f>
        <v>0.30920634920634921</v>
      </c>
      <c r="G54" s="29">
        <v>288.17401999999993</v>
      </c>
      <c r="H54" s="29">
        <f>F54*G54</f>
        <v>89.105236660317445</v>
      </c>
      <c r="I54" s="29">
        <f>F54/H$57*1000</f>
        <v>1.00736920463302</v>
      </c>
    </row>
    <row r="55" spans="3:17" ht="17.25" customHeight="1">
      <c r="D55" s="10" t="s">
        <v>2</v>
      </c>
      <c r="E55" s="63">
        <v>396</v>
      </c>
      <c r="F55" s="29">
        <f>E55/E$57</f>
        <v>0.25142857142857145</v>
      </c>
      <c r="G55" s="29">
        <v>328.19820000000004</v>
      </c>
      <c r="H55" s="29">
        <f>F55*G55</f>
        <v>82.51840457142859</v>
      </c>
      <c r="I55" s="29">
        <f>F55/H$57*1000</f>
        <v>0.81913389124163438</v>
      </c>
    </row>
    <row r="56" spans="3:17" ht="17.25" customHeight="1">
      <c r="D56" s="17" t="s">
        <v>3</v>
      </c>
      <c r="E56" s="62">
        <v>323</v>
      </c>
      <c r="F56" s="31">
        <f>E56/E$57</f>
        <v>0.20507936507936508</v>
      </c>
      <c r="G56" s="31">
        <v>303.18531999999993</v>
      </c>
      <c r="H56" s="31">
        <f>F56*G56</f>
        <v>62.177052926984118</v>
      </c>
      <c r="I56" s="31">
        <f>F56/H$57*1000</f>
        <v>0.66813193654305036</v>
      </c>
    </row>
    <row r="57" spans="3:17" ht="17.25" customHeight="1">
      <c r="E57" s="32">
        <f>SUM(E53:E56)</f>
        <v>1575</v>
      </c>
      <c r="F57" s="27"/>
      <c r="G57" s="27"/>
      <c r="H57" s="27">
        <f>SUM(H53:H56)</f>
        <v>306.94441301587301</v>
      </c>
      <c r="I57" s="27">
        <f>SUM(I53:I56)</f>
        <v>3.2579188856201369</v>
      </c>
    </row>
    <row r="58" spans="3:17" ht="17.25" customHeight="1">
      <c r="E58" s="32"/>
      <c r="F58" s="27"/>
      <c r="G58" s="27"/>
      <c r="H58" s="33" t="s">
        <v>51</v>
      </c>
      <c r="I58" s="27">
        <f>I57*3.4</f>
        <v>11.076924211108466</v>
      </c>
    </row>
    <row r="60" spans="3:17" ht="17.25" customHeight="1">
      <c r="D60" s="65" t="s">
        <v>74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 spans="3:17" s="47" customFormat="1" ht="17.25" customHeight="1"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 spans="3:17" s="47" customFormat="1" ht="17.25" customHeight="1">
      <c r="D62" s="47" t="s">
        <v>58</v>
      </c>
    </row>
    <row r="64" spans="3:17" ht="17.25" customHeight="1">
      <c r="D64" s="47" t="s">
        <v>71</v>
      </c>
    </row>
    <row r="67" spans="3:4" ht="17.25" customHeight="1">
      <c r="C67" s="51" t="s">
        <v>59</v>
      </c>
    </row>
    <row r="68" spans="3:4" ht="17.25" customHeight="1">
      <c r="D68" s="47" t="s">
        <v>72</v>
      </c>
    </row>
  </sheetData>
  <mergeCells count="2">
    <mergeCell ref="D45:R46"/>
    <mergeCell ref="D60:Q6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2"/>
  <sheetViews>
    <sheetView tabSelected="1" topLeftCell="A34" workbookViewId="0">
      <selection activeCell="D62" sqref="D62"/>
    </sheetView>
  </sheetViews>
  <sheetFormatPr baseColWidth="10" defaultRowHeight="15"/>
  <cols>
    <col min="1" max="6" width="11.42578125" style="47"/>
    <col min="7" max="7" width="12" style="47" bestFit="1" customWidth="1"/>
    <col min="8" max="16384" width="11.42578125" style="47"/>
  </cols>
  <sheetData>
    <row r="1" spans="2:10" ht="17.25" customHeight="1">
      <c r="B1" s="51" t="s">
        <v>52</v>
      </c>
    </row>
    <row r="2" spans="2:10" ht="17.25" customHeight="1"/>
    <row r="3" spans="2:10" ht="17.25" customHeight="1">
      <c r="C3" s="51" t="s">
        <v>80</v>
      </c>
    </row>
    <row r="4" spans="2:10" ht="17.25" customHeight="1">
      <c r="C4" s="51"/>
    </row>
    <row r="5" spans="2:10" ht="17.25" customHeight="1">
      <c r="D5" s="60" t="s">
        <v>67</v>
      </c>
      <c r="E5" s="52" t="s">
        <v>26</v>
      </c>
      <c r="F5" s="52" t="s">
        <v>45</v>
      </c>
      <c r="G5" s="52" t="s">
        <v>46</v>
      </c>
      <c r="H5" s="52" t="s">
        <v>27</v>
      </c>
      <c r="I5" s="56" t="s">
        <v>28</v>
      </c>
    </row>
    <row r="6" spans="2:10" ht="17.25" customHeight="1">
      <c r="D6" s="53" t="s">
        <v>5</v>
      </c>
      <c r="E6" s="25">
        <v>15</v>
      </c>
      <c r="F6" s="26">
        <f t="shared" ref="F6:F26" si="0">E6/E$27</f>
        <v>5.5762081784386616E-2</v>
      </c>
      <c r="G6" s="27">
        <v>71.077939999999998</v>
      </c>
      <c r="H6" s="27">
        <f>F6*G6</f>
        <v>3.9634539033457248</v>
      </c>
      <c r="I6" s="27">
        <f>F6/H$27*1000</f>
        <v>0.5079751664270401</v>
      </c>
      <c r="J6" s="54"/>
    </row>
    <row r="7" spans="2:10" ht="17.25" customHeight="1">
      <c r="D7" s="49" t="s">
        <v>19</v>
      </c>
      <c r="E7" s="63">
        <v>9</v>
      </c>
      <c r="F7" s="29">
        <f t="shared" si="0"/>
        <v>3.3457249070631967E-2</v>
      </c>
      <c r="G7" s="27">
        <v>156.18584000000001</v>
      </c>
      <c r="H7" s="27">
        <f t="shared" ref="H7:H26" si="1">F7*G7</f>
        <v>5.2255485501858736</v>
      </c>
      <c r="I7" s="27">
        <f t="shared" ref="I7:I26" si="2">F7/H$27*1000</f>
        <v>0.30478509985622404</v>
      </c>
      <c r="J7" s="54"/>
    </row>
    <row r="8" spans="2:10" ht="17.25" customHeight="1">
      <c r="D8" s="49" t="s">
        <v>16</v>
      </c>
      <c r="E8" s="63">
        <v>11</v>
      </c>
      <c r="F8" s="29">
        <f t="shared" si="0"/>
        <v>4.0892193308550186E-2</v>
      </c>
      <c r="G8" s="27">
        <v>114.10272000000001</v>
      </c>
      <c r="H8" s="27">
        <f t="shared" si="1"/>
        <v>4.665910483271376</v>
      </c>
      <c r="I8" s="27">
        <f t="shared" si="2"/>
        <v>0.37251512204649612</v>
      </c>
      <c r="J8" s="54"/>
    </row>
    <row r="9" spans="2:10" ht="17.25" customHeight="1">
      <c r="D9" s="49" t="s">
        <v>7</v>
      </c>
      <c r="E9" s="63">
        <v>13</v>
      </c>
      <c r="F9" s="29">
        <f t="shared" si="0"/>
        <v>4.8327137546468404E-2</v>
      </c>
      <c r="G9" s="27">
        <v>114.0795</v>
      </c>
      <c r="H9" s="27">
        <f t="shared" si="1"/>
        <v>5.5131356877323423</v>
      </c>
      <c r="I9" s="27">
        <f t="shared" si="2"/>
        <v>0.44024514423676819</v>
      </c>
      <c r="J9" s="54"/>
    </row>
    <row r="10" spans="2:10" ht="17.25" customHeight="1">
      <c r="D10" s="49" t="s">
        <v>6</v>
      </c>
      <c r="E10" s="63">
        <v>6</v>
      </c>
      <c r="F10" s="29">
        <f t="shared" si="0"/>
        <v>2.2304832713754646E-2</v>
      </c>
      <c r="G10" s="27">
        <v>103.14394</v>
      </c>
      <c r="H10" s="27">
        <f t="shared" si="1"/>
        <v>2.3006083271375464</v>
      </c>
      <c r="I10" s="27">
        <f t="shared" si="2"/>
        <v>0.20319006657081606</v>
      </c>
      <c r="J10" s="54"/>
    </row>
    <row r="11" spans="2:10" ht="17.25" customHeight="1">
      <c r="D11" s="49" t="s">
        <v>18</v>
      </c>
      <c r="E11" s="63">
        <v>13</v>
      </c>
      <c r="F11" s="29">
        <f t="shared" si="0"/>
        <v>4.8327137546468404E-2</v>
      </c>
      <c r="G11" s="27">
        <v>128.1293</v>
      </c>
      <c r="H11" s="27">
        <f t="shared" si="1"/>
        <v>6.1921223048327141</v>
      </c>
      <c r="I11" s="27">
        <f t="shared" si="2"/>
        <v>0.44024514423676819</v>
      </c>
      <c r="J11" s="54"/>
    </row>
    <row r="12" spans="2:10" ht="17.25" customHeight="1">
      <c r="D12" s="49" t="s">
        <v>8</v>
      </c>
      <c r="E12" s="63">
        <v>9</v>
      </c>
      <c r="F12" s="29">
        <f t="shared" si="0"/>
        <v>3.3457249070631967E-2</v>
      </c>
      <c r="G12" s="27">
        <v>128.10607999999999</v>
      </c>
      <c r="H12" s="27">
        <f t="shared" si="1"/>
        <v>4.286077026022304</v>
      </c>
      <c r="I12" s="27">
        <f t="shared" si="2"/>
        <v>0.30478509985622404</v>
      </c>
      <c r="J12" s="54"/>
    </row>
    <row r="13" spans="2:10" ht="17.25" customHeight="1">
      <c r="D13" s="49" t="s">
        <v>10</v>
      </c>
      <c r="E13" s="63">
        <v>21</v>
      </c>
      <c r="F13" s="29">
        <f t="shared" si="0"/>
        <v>7.8066914498141265E-2</v>
      </c>
      <c r="G13" s="27">
        <v>57.051360000000003</v>
      </c>
      <c r="H13" s="27">
        <f t="shared" si="1"/>
        <v>4.4538236431226768</v>
      </c>
      <c r="I13" s="27">
        <f t="shared" si="2"/>
        <v>0.71116523299785628</v>
      </c>
      <c r="J13" s="54"/>
    </row>
    <row r="14" spans="2:10" ht="17.25" customHeight="1">
      <c r="D14" s="49" t="s">
        <v>11</v>
      </c>
      <c r="E14" s="63">
        <v>6</v>
      </c>
      <c r="F14" s="29">
        <f t="shared" si="0"/>
        <v>2.2304832713754646E-2</v>
      </c>
      <c r="G14" s="27">
        <v>137.13940000000002</v>
      </c>
      <c r="H14" s="27">
        <f t="shared" si="1"/>
        <v>3.0588713754646846</v>
      </c>
      <c r="I14" s="27">
        <f t="shared" si="2"/>
        <v>0.20319006657081606</v>
      </c>
      <c r="J14" s="54"/>
    </row>
    <row r="15" spans="2:10" ht="17.25" customHeight="1">
      <c r="D15" s="49" t="s">
        <v>12</v>
      </c>
      <c r="E15" s="63">
        <v>16</v>
      </c>
      <c r="F15" s="29">
        <f t="shared" si="0"/>
        <v>5.9479553903345722E-2</v>
      </c>
      <c r="G15" s="27">
        <v>113.15767999999998</v>
      </c>
      <c r="H15" s="27">
        <f t="shared" si="1"/>
        <v>6.7305683271375454</v>
      </c>
      <c r="I15" s="27">
        <f t="shared" si="2"/>
        <v>0.54184017752217617</v>
      </c>
      <c r="J15" s="54"/>
    </row>
    <row r="16" spans="2:10" ht="17.25" customHeight="1">
      <c r="D16" s="49" t="s">
        <v>14</v>
      </c>
      <c r="E16" s="63">
        <v>17</v>
      </c>
      <c r="F16" s="29">
        <f t="shared" si="0"/>
        <v>6.3197026022304828E-2</v>
      </c>
      <c r="G16" s="27">
        <v>113.15767999999998</v>
      </c>
      <c r="H16" s="27">
        <f t="shared" si="1"/>
        <v>7.1512288475836421</v>
      </c>
      <c r="I16" s="27">
        <f t="shared" si="2"/>
        <v>0.57570518861731212</v>
      </c>
      <c r="J16" s="54"/>
    </row>
    <row r="17" spans="4:10" ht="17.25" customHeight="1">
      <c r="D17" s="49" t="s">
        <v>13</v>
      </c>
      <c r="E17" s="63">
        <v>15</v>
      </c>
      <c r="F17" s="29">
        <f t="shared" si="0"/>
        <v>5.5762081784386616E-2</v>
      </c>
      <c r="G17" s="27">
        <v>128.17236</v>
      </c>
      <c r="H17" s="27">
        <f t="shared" si="1"/>
        <v>7.1471576208178433</v>
      </c>
      <c r="I17" s="27">
        <f t="shared" si="2"/>
        <v>0.5079751664270401</v>
      </c>
      <c r="J17" s="54"/>
    </row>
    <row r="18" spans="4:10" ht="17.25" customHeight="1">
      <c r="D18" s="49" t="s">
        <v>15</v>
      </c>
      <c r="E18" s="63">
        <v>1</v>
      </c>
      <c r="F18" s="29">
        <f t="shared" si="0"/>
        <v>3.7174721189591076E-3</v>
      </c>
      <c r="G18" s="27">
        <v>131.19709999999998</v>
      </c>
      <c r="H18" s="27">
        <f t="shared" si="1"/>
        <v>0.48772156133828987</v>
      </c>
      <c r="I18" s="27">
        <f t="shared" si="2"/>
        <v>3.3865011095136011E-2</v>
      </c>
      <c r="J18" s="54"/>
    </row>
    <row r="19" spans="4:10" ht="17.25" customHeight="1">
      <c r="D19" s="49" t="s">
        <v>25</v>
      </c>
      <c r="E19" s="63">
        <v>0</v>
      </c>
      <c r="F19" s="29">
        <f t="shared" si="0"/>
        <v>0</v>
      </c>
      <c r="G19" s="27">
        <v>114.14578</v>
      </c>
      <c r="H19" s="27">
        <f t="shared" si="1"/>
        <v>0</v>
      </c>
      <c r="I19" s="27">
        <f t="shared" si="2"/>
        <v>0</v>
      </c>
      <c r="J19" s="54"/>
    </row>
    <row r="20" spans="4:10" ht="17.25" customHeight="1">
      <c r="D20" s="49" t="s">
        <v>9</v>
      </c>
      <c r="E20" s="63">
        <v>15</v>
      </c>
      <c r="F20" s="29">
        <f t="shared" si="0"/>
        <v>5.5762081784386616E-2</v>
      </c>
      <c r="G20" s="27">
        <v>147.1739</v>
      </c>
      <c r="H20" s="27">
        <f t="shared" si="1"/>
        <v>8.2067230483271381</v>
      </c>
      <c r="I20" s="27">
        <f t="shared" si="2"/>
        <v>0.5079751664270401</v>
      </c>
      <c r="J20" s="54"/>
    </row>
    <row r="21" spans="4:10" ht="17.25" customHeight="1">
      <c r="D21" s="49" t="s">
        <v>17</v>
      </c>
      <c r="E21" s="63">
        <v>15</v>
      </c>
      <c r="F21" s="29">
        <f t="shared" si="0"/>
        <v>5.5762081784386616E-2</v>
      </c>
      <c r="G21" s="27">
        <v>97.115220000000008</v>
      </c>
      <c r="H21" s="27">
        <f t="shared" si="1"/>
        <v>5.4153468401486995</v>
      </c>
      <c r="I21" s="27">
        <f t="shared" si="2"/>
        <v>0.5079751664270401</v>
      </c>
      <c r="J21" s="54"/>
    </row>
    <row r="22" spans="4:10" ht="17.25" customHeight="1">
      <c r="D22" s="49" t="s">
        <v>20</v>
      </c>
      <c r="E22" s="63">
        <v>24</v>
      </c>
      <c r="F22" s="29">
        <f t="shared" si="0"/>
        <v>8.9219330855018583E-2</v>
      </c>
      <c r="G22" s="27">
        <v>87.077339999999992</v>
      </c>
      <c r="H22" s="27">
        <f t="shared" si="1"/>
        <v>7.7689820074349436</v>
      </c>
      <c r="I22" s="27">
        <f t="shared" si="2"/>
        <v>0.81276026628326425</v>
      </c>
      <c r="J22" s="54"/>
    </row>
    <row r="23" spans="4:10" ht="17.25" customHeight="1">
      <c r="D23" s="49" t="s">
        <v>21</v>
      </c>
      <c r="E23" s="63">
        <v>22</v>
      </c>
      <c r="F23" s="29">
        <f t="shared" si="0"/>
        <v>8.1784386617100371E-2</v>
      </c>
      <c r="G23" s="27">
        <v>101.10392</v>
      </c>
      <c r="H23" s="27">
        <f t="shared" si="1"/>
        <v>8.2687220817843876</v>
      </c>
      <c r="I23" s="27">
        <f t="shared" si="2"/>
        <v>0.74503024409299223</v>
      </c>
      <c r="J23" s="54"/>
    </row>
    <row r="24" spans="4:10" ht="17.25" customHeight="1">
      <c r="D24" s="49" t="s">
        <v>23</v>
      </c>
      <c r="E24" s="63">
        <v>3</v>
      </c>
      <c r="F24" s="29">
        <f t="shared" si="0"/>
        <v>1.1152416356877323E-2</v>
      </c>
      <c r="G24" s="27">
        <v>186.20998</v>
      </c>
      <c r="H24" s="27">
        <f t="shared" si="1"/>
        <v>2.0766912267657993</v>
      </c>
      <c r="I24" s="27">
        <f t="shared" si="2"/>
        <v>0.10159503328540803</v>
      </c>
      <c r="J24" s="54"/>
    </row>
    <row r="25" spans="4:10" ht="17.25" customHeight="1">
      <c r="D25" s="49" t="s">
        <v>24</v>
      </c>
      <c r="E25" s="63">
        <v>12</v>
      </c>
      <c r="F25" s="29">
        <f t="shared" si="0"/>
        <v>4.4609665427509292E-2</v>
      </c>
      <c r="G25" s="27">
        <v>163.17329999999998</v>
      </c>
      <c r="H25" s="27">
        <f t="shared" si="1"/>
        <v>7.2791063197026009</v>
      </c>
      <c r="I25" s="27">
        <f t="shared" si="2"/>
        <v>0.40638013314163213</v>
      </c>
      <c r="J25" s="54"/>
    </row>
    <row r="26" spans="4:10" ht="17.25" customHeight="1">
      <c r="D26" s="50" t="s">
        <v>22</v>
      </c>
      <c r="E26" s="62">
        <v>26</v>
      </c>
      <c r="F26" s="31">
        <f t="shared" si="0"/>
        <v>9.6654275092936809E-2</v>
      </c>
      <c r="G26" s="31">
        <v>99.131099999999989</v>
      </c>
      <c r="H26" s="31">
        <f t="shared" si="1"/>
        <v>9.5814446096654269</v>
      </c>
      <c r="I26" s="31">
        <f t="shared" si="2"/>
        <v>0.88049028847353639</v>
      </c>
      <c r="J26" s="54"/>
    </row>
    <row r="27" spans="4:10" ht="17.25" customHeight="1">
      <c r="D27" s="59"/>
      <c r="E27" s="61">
        <f>SUM(E6:E26)</f>
        <v>269</v>
      </c>
      <c r="F27" s="35">
        <f>SUM(F6:F26)</f>
        <v>1</v>
      </c>
      <c r="G27" s="61"/>
      <c r="H27" s="35">
        <f>SUM(H6:H26)</f>
        <v>109.77324379182157</v>
      </c>
      <c r="I27" s="35">
        <f>SUM(I6:I26)</f>
        <v>9.1096879845915879</v>
      </c>
      <c r="J27" s="54"/>
    </row>
    <row r="28" spans="4:10" ht="17.25" customHeight="1">
      <c r="E28" s="32"/>
      <c r="F28" s="27"/>
      <c r="G28" s="32"/>
      <c r="H28" s="33" t="s">
        <v>47</v>
      </c>
      <c r="I28" s="27">
        <f>I27*4.3</f>
        <v>39.171658333743828</v>
      </c>
    </row>
    <row r="29" spans="4:10" ht="17.25" customHeight="1">
      <c r="D29" s="47" t="s">
        <v>68</v>
      </c>
      <c r="E29" s="32"/>
      <c r="F29" s="27"/>
      <c r="G29" s="32"/>
      <c r="H29" s="33"/>
      <c r="I29" s="27"/>
    </row>
    <row r="30" spans="4:10" ht="17.25" customHeight="1">
      <c r="D30" s="47" t="s">
        <v>56</v>
      </c>
      <c r="E30" s="32"/>
      <c r="F30" s="27"/>
      <c r="G30" s="32"/>
      <c r="H30" s="33"/>
      <c r="I30" s="27"/>
    </row>
    <row r="31" spans="4:10" ht="17.25" customHeight="1">
      <c r="E31" s="32"/>
      <c r="F31" s="27"/>
      <c r="G31" s="32"/>
      <c r="H31" s="33"/>
      <c r="I31" s="27"/>
    </row>
    <row r="32" spans="4:10" ht="17.25" customHeight="1">
      <c r="D32" s="47" t="s">
        <v>76</v>
      </c>
      <c r="F32" s="54"/>
      <c r="H32" s="54"/>
      <c r="I32" s="54"/>
    </row>
    <row r="33" spans="3:18" ht="17.25" customHeight="1">
      <c r="F33" s="54"/>
      <c r="H33" s="54"/>
      <c r="I33" s="54"/>
    </row>
    <row r="34" spans="3:18" ht="17.25" customHeight="1">
      <c r="D34" s="55"/>
      <c r="F34" s="54"/>
      <c r="H34" s="54"/>
      <c r="I34" s="54"/>
    </row>
    <row r="35" spans="3:18" ht="17.25" customHeight="1">
      <c r="C35" s="51" t="s">
        <v>37</v>
      </c>
      <c r="I35" s="54"/>
    </row>
    <row r="36" spans="3:18" ht="17.25" customHeight="1">
      <c r="I36" s="54"/>
    </row>
    <row r="37" spans="3:18" ht="17.25" customHeight="1">
      <c r="D37" s="59"/>
      <c r="E37" s="48" t="s">
        <v>29</v>
      </c>
      <c r="F37" s="48" t="s">
        <v>30</v>
      </c>
      <c r="G37" s="56" t="s">
        <v>48</v>
      </c>
      <c r="H37" s="48" t="s">
        <v>31</v>
      </c>
      <c r="I37" s="48" t="s">
        <v>32</v>
      </c>
    </row>
    <row r="38" spans="3:18" ht="17.25" customHeight="1">
      <c r="D38" s="53" t="s">
        <v>0</v>
      </c>
      <c r="E38" s="25">
        <v>255</v>
      </c>
      <c r="F38" s="26">
        <f>E38/E$42</f>
        <v>0.31481481481481483</v>
      </c>
      <c r="G38" s="26">
        <v>328.19820000000004</v>
      </c>
      <c r="H38" s="26">
        <f>F38*G38</f>
        <v>103.32165555555557</v>
      </c>
      <c r="I38" s="26">
        <f>F38/H$42*1000</f>
        <v>0.9765025391839286</v>
      </c>
    </row>
    <row r="39" spans="3:18" ht="17.25" customHeight="1">
      <c r="D39" s="49" t="s">
        <v>1</v>
      </c>
      <c r="E39" s="63">
        <v>157</v>
      </c>
      <c r="F39" s="29">
        <f>E39/E$42</f>
        <v>0.19382716049382717</v>
      </c>
      <c r="G39" s="29">
        <v>304.17341999999996</v>
      </c>
      <c r="H39" s="29">
        <f>F39*G39</f>
        <v>58.957070296296294</v>
      </c>
      <c r="I39" s="29">
        <f>F39/H$42*1000</f>
        <v>0.60121921039951687</v>
      </c>
    </row>
    <row r="40" spans="3:18" ht="17.25" customHeight="1">
      <c r="D40" s="49" t="s">
        <v>2</v>
      </c>
      <c r="E40" s="63">
        <v>211</v>
      </c>
      <c r="F40" s="29">
        <f>E40/E$42</f>
        <v>0.26049382716049385</v>
      </c>
      <c r="G40" s="29">
        <v>344.19759999999997</v>
      </c>
      <c r="H40" s="29">
        <f>F40*G40</f>
        <v>89.661350123456785</v>
      </c>
      <c r="I40" s="29">
        <f>F40/H$42*1000</f>
        <v>0.80800798340317237</v>
      </c>
    </row>
    <row r="41" spans="3:18" ht="17.25" customHeight="1">
      <c r="D41" s="50" t="s">
        <v>4</v>
      </c>
      <c r="E41" s="62">
        <v>187</v>
      </c>
      <c r="F41" s="31">
        <f>E41/E$42</f>
        <v>0.23086419753086421</v>
      </c>
      <c r="G41" s="31">
        <v>305.15814</v>
      </c>
      <c r="H41" s="31">
        <f>F41*G41</f>
        <v>70.450089111111112</v>
      </c>
      <c r="I41" s="31">
        <f>F41/H$42*1000</f>
        <v>0.71610186206821436</v>
      </c>
    </row>
    <row r="42" spans="3:18" ht="17.25" customHeight="1">
      <c r="D42" s="59"/>
      <c r="E42" s="61">
        <f>SUM(E38:E41)</f>
        <v>810</v>
      </c>
      <c r="F42" s="61">
        <f>E42/E$42</f>
        <v>1</v>
      </c>
      <c r="G42" s="61"/>
      <c r="H42" s="35">
        <f>SUM(H38:H41)</f>
        <v>322.39016508641976</v>
      </c>
      <c r="I42" s="35">
        <f>SUM(I38:I41)</f>
        <v>3.1018315950548319</v>
      </c>
    </row>
    <row r="43" spans="3:18" ht="17.25" customHeight="1">
      <c r="E43" s="32"/>
      <c r="F43" s="32"/>
      <c r="G43" s="32"/>
      <c r="H43" s="33" t="s">
        <v>49</v>
      </c>
      <c r="I43" s="27">
        <f>I42*2.4</f>
        <v>7.4443958281315963</v>
      </c>
    </row>
    <row r="44" spans="3:18" ht="17.25" customHeight="1">
      <c r="H44" s="51"/>
      <c r="I44" s="54"/>
    </row>
    <row r="45" spans="3:18" ht="17.25" customHeight="1">
      <c r="D45" s="64" t="s">
        <v>75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</row>
    <row r="46" spans="3:18" ht="17.25" customHeight="1"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</row>
    <row r="47" spans="3:18" ht="17.25" customHeight="1">
      <c r="D47" s="47" t="s">
        <v>57</v>
      </c>
      <c r="H47" s="54"/>
      <c r="I47" s="54"/>
    </row>
    <row r="48" spans="3:18" ht="17.25" customHeight="1">
      <c r="H48" s="54"/>
      <c r="I48" s="54"/>
    </row>
    <row r="49" spans="3:17" ht="17.25" customHeight="1">
      <c r="D49" s="47" t="s">
        <v>77</v>
      </c>
      <c r="H49" s="54"/>
      <c r="I49" s="54"/>
    </row>
    <row r="50" spans="3:17" ht="17.25" customHeight="1">
      <c r="H50" s="54"/>
      <c r="I50" s="54"/>
    </row>
    <row r="51" spans="3:17" ht="17.25" customHeight="1">
      <c r="C51" s="51" t="s">
        <v>38</v>
      </c>
      <c r="I51" s="54"/>
    </row>
    <row r="52" spans="3:17" ht="17.25" customHeight="1">
      <c r="D52" s="59"/>
      <c r="E52" s="48" t="s">
        <v>36</v>
      </c>
      <c r="F52" s="48" t="s">
        <v>35</v>
      </c>
      <c r="G52" s="56" t="s">
        <v>50</v>
      </c>
      <c r="H52" s="48" t="s">
        <v>33</v>
      </c>
      <c r="I52" s="48" t="s">
        <v>34</v>
      </c>
    </row>
    <row r="53" spans="3:17" ht="17.25" customHeight="1">
      <c r="D53" s="47" t="s">
        <v>0</v>
      </c>
      <c r="E53" s="36">
        <v>187</v>
      </c>
      <c r="F53" s="26">
        <f>E53/E$57</f>
        <v>0.23086419753086421</v>
      </c>
      <c r="G53" s="26">
        <v>312.19880000000001</v>
      </c>
      <c r="H53" s="26">
        <f>F53*G53</f>
        <v>72.075525432098772</v>
      </c>
      <c r="I53" s="26">
        <f>F53/H$57*1000</f>
        <v>0.7539554402808345</v>
      </c>
    </row>
    <row r="54" spans="3:17" ht="17.25" customHeight="1">
      <c r="D54" s="47" t="s">
        <v>1</v>
      </c>
      <c r="E54" s="34">
        <v>211</v>
      </c>
      <c r="F54" s="29">
        <f>E54/E$57</f>
        <v>0.26049382716049385</v>
      </c>
      <c r="G54" s="29">
        <v>288.17401999999993</v>
      </c>
      <c r="H54" s="29">
        <f>F54*G54</f>
        <v>75.067553358024682</v>
      </c>
      <c r="I54" s="29">
        <f>F54/H$57*1000</f>
        <v>0.85071977486233208</v>
      </c>
    </row>
    <row r="55" spans="3:17" ht="17.25" customHeight="1">
      <c r="D55" s="47" t="s">
        <v>2</v>
      </c>
      <c r="E55" s="34">
        <v>157</v>
      </c>
      <c r="F55" s="29">
        <f>E55/E$57</f>
        <v>0.19382716049382717</v>
      </c>
      <c r="G55" s="29">
        <v>328.19820000000004</v>
      </c>
      <c r="H55" s="29">
        <f>F55*G55</f>
        <v>63.613725185185196</v>
      </c>
      <c r="I55" s="29">
        <f>F55/H$57*1000</f>
        <v>0.63300002205396266</v>
      </c>
    </row>
    <row r="56" spans="3:17" ht="17.25" customHeight="1">
      <c r="D56" s="50" t="s">
        <v>3</v>
      </c>
      <c r="E56" s="37">
        <v>255</v>
      </c>
      <c r="F56" s="31">
        <f>E56/E$57</f>
        <v>0.31481481481481483</v>
      </c>
      <c r="G56" s="31">
        <v>303.18531999999993</v>
      </c>
      <c r="H56" s="31">
        <f>F56*G56</f>
        <v>95.447230370370349</v>
      </c>
      <c r="I56" s="31">
        <f>F56/H$57*1000</f>
        <v>1.0281210549284108</v>
      </c>
    </row>
    <row r="57" spans="3:17" ht="17.25" customHeight="1">
      <c r="E57" s="27">
        <f>SUM(E53:E56)</f>
        <v>810</v>
      </c>
      <c r="F57" s="27"/>
      <c r="G57" s="27"/>
      <c r="H57" s="27">
        <f>SUM(H53:H56)</f>
        <v>306.20403434567902</v>
      </c>
      <c r="I57" s="27">
        <f>SUM(I53:I56)</f>
        <v>3.2657962921255401</v>
      </c>
    </row>
    <row r="58" spans="3:17" ht="17.25" customHeight="1">
      <c r="E58" s="27"/>
      <c r="F58" s="27"/>
      <c r="G58" s="27"/>
      <c r="H58" s="33" t="s">
        <v>51</v>
      </c>
      <c r="I58" s="27">
        <f>I57*3.4</f>
        <v>11.103707393226836</v>
      </c>
    </row>
    <row r="59" spans="3:17" ht="17.25" customHeight="1">
      <c r="E59" s="27"/>
      <c r="F59" s="27"/>
      <c r="G59" s="27"/>
      <c r="H59" s="27"/>
      <c r="I59" s="27"/>
    </row>
    <row r="60" spans="3:17" ht="17.25" customHeight="1">
      <c r="D60" s="65" t="s">
        <v>73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 spans="3:17" ht="17.25" customHeight="1"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 spans="3:17" ht="17.25" customHeight="1">
      <c r="D62" s="47" t="s">
        <v>58</v>
      </c>
    </row>
    <row r="63" spans="3:17" ht="17.25" customHeight="1"/>
    <row r="64" spans="3:17" ht="17.25" customHeight="1">
      <c r="D64" s="47" t="s">
        <v>78</v>
      </c>
    </row>
    <row r="65" spans="3:4" ht="17.25" customHeight="1"/>
    <row r="66" spans="3:4" ht="17.25" customHeight="1"/>
    <row r="67" spans="3:4" ht="17.25" customHeight="1">
      <c r="C67" s="51" t="s">
        <v>59</v>
      </c>
    </row>
    <row r="68" spans="3:4" ht="17.25" customHeight="1">
      <c r="D68" s="47" t="s">
        <v>79</v>
      </c>
    </row>
    <row r="69" spans="3:4" ht="17.25" customHeight="1"/>
    <row r="70" spans="3:4" ht="17.25" customHeight="1"/>
    <row r="71" spans="3:4" ht="17.25" customHeight="1"/>
    <row r="72" spans="3:4" ht="17.25" customHeight="1"/>
  </sheetData>
  <mergeCells count="2">
    <mergeCell ref="D45:R46"/>
    <mergeCell ref="D60:Q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Contents</vt:lpstr>
      <vt:lpstr>FAB</vt:lpstr>
      <vt:lpstr>ROL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Màrius Tomàs-Gamisans</dc:creator>
  <cp:lastModifiedBy>Màrius Tomàs-Gamisans</cp:lastModifiedBy>
  <dcterms:created xsi:type="dcterms:W3CDTF">2015-04-28T16:28:16Z</dcterms:created>
  <dcterms:modified xsi:type="dcterms:W3CDTF">2015-08-03T16:35:50Z</dcterms:modified>
</cp:coreProperties>
</file>