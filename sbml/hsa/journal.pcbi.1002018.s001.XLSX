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240" yWindow="105" windowWidth="14805" windowHeight="8010"/>
  </bookViews>
  <sheets>
    <sheet name="DatasetS1" sheetId="2" r:id="rId1"/>
  </sheets>
  <externalReferences>
    <externalReference r:id="rId2"/>
  </externalReferences>
  <calcPr calcId="125725"/>
</workbook>
</file>

<file path=xl/calcChain.xml><?xml version="1.0" encoding="utf-8"?>
<calcChain xmlns="http://schemas.openxmlformats.org/spreadsheetml/2006/main">
  <c r="R32" i="2"/>
  <c r="R31"/>
  <c r="R30"/>
  <c r="R29"/>
  <c r="R28"/>
  <c r="R27"/>
  <c r="R26"/>
  <c r="R25"/>
  <c r="R24"/>
  <c r="R23"/>
  <c r="R22"/>
  <c r="R21"/>
  <c r="V20"/>
  <c r="W32" s="1"/>
  <c r="R20"/>
  <c r="C20"/>
  <c r="R19"/>
  <c r="S19" s="1"/>
  <c r="R18"/>
  <c r="S18" s="1"/>
  <c r="R17"/>
  <c r="S17" s="1"/>
  <c r="R16"/>
  <c r="S16" s="1"/>
  <c r="C16"/>
  <c r="R15"/>
  <c r="S15" s="1"/>
  <c r="R14"/>
  <c r="S14" s="1"/>
  <c r="R13"/>
  <c r="S13" s="1"/>
  <c r="R12"/>
  <c r="S12" s="1"/>
  <c r="C12"/>
  <c r="R11"/>
  <c r="F11"/>
  <c r="S11" s="1"/>
  <c r="R10"/>
  <c r="F10"/>
  <c r="S10" s="1"/>
  <c r="R9"/>
  <c r="F9"/>
  <c r="S9" s="1"/>
  <c r="R8"/>
  <c r="F8"/>
  <c r="S8" s="1"/>
  <c r="R7"/>
  <c r="F7"/>
  <c r="S7" s="1"/>
  <c r="R6"/>
  <c r="F6"/>
  <c r="S6" s="1"/>
  <c r="R5"/>
  <c r="F5"/>
  <c r="S5" s="1"/>
  <c r="R4"/>
  <c r="F4"/>
  <c r="S4" s="1"/>
  <c r="R3"/>
  <c r="F3"/>
  <c r="S3" s="1"/>
  <c r="C3"/>
  <c r="C36" s="1"/>
  <c r="T3" l="1"/>
  <c r="T12"/>
  <c r="W12" s="1"/>
  <c r="T16"/>
  <c r="W16" s="1"/>
  <c r="D3"/>
  <c r="W4"/>
  <c r="X4" s="1"/>
  <c r="Y4" s="1"/>
  <c r="G4" s="1"/>
  <c r="AE4" s="1"/>
  <c r="W5"/>
  <c r="X5" s="1"/>
  <c r="Y5" s="1"/>
  <c r="G5" s="1"/>
  <c r="AE5" s="1"/>
  <c r="W6"/>
  <c r="X6" s="1"/>
  <c r="Y6" s="1"/>
  <c r="G6" s="1"/>
  <c r="AE6" s="1"/>
  <c r="W7"/>
  <c r="X7" s="1"/>
  <c r="Y7" s="1"/>
  <c r="G7" s="1"/>
  <c r="AE7" s="1"/>
  <c r="W8"/>
  <c r="X8" s="1"/>
  <c r="Y8" s="1"/>
  <c r="G8" s="1"/>
  <c r="AE8" s="1"/>
  <c r="W9"/>
  <c r="X9" s="1"/>
  <c r="Y9" s="1"/>
  <c r="G9" s="1"/>
  <c r="AE9" s="1"/>
  <c r="W10"/>
  <c r="X10" s="1"/>
  <c r="Y10" s="1"/>
  <c r="G10" s="1"/>
  <c r="AE10" s="1"/>
  <c r="W11"/>
  <c r="X11" s="1"/>
  <c r="Y11" s="1"/>
  <c r="G11" s="1"/>
  <c r="AE11" s="1"/>
  <c r="D12"/>
  <c r="W13"/>
  <c r="X13" s="1"/>
  <c r="Y13" s="1"/>
  <c r="G13" s="1"/>
  <c r="AE13" s="1"/>
  <c r="W14"/>
  <c r="X14" s="1"/>
  <c r="Y14" s="1"/>
  <c r="G14" s="1"/>
  <c r="AE14" s="1"/>
  <c r="W15"/>
  <c r="X15" s="1"/>
  <c r="Y15" s="1"/>
  <c r="G15" s="1"/>
  <c r="AE15" s="1"/>
  <c r="D16"/>
  <c r="W17"/>
  <c r="X17" s="1"/>
  <c r="Y17" s="1"/>
  <c r="G17" s="1"/>
  <c r="AE17" s="1"/>
  <c r="W18"/>
  <c r="X18" s="1"/>
  <c r="Y18" s="1"/>
  <c r="G18" s="1"/>
  <c r="AE18" s="1"/>
  <c r="W19"/>
  <c r="X19" s="1"/>
  <c r="Y19" s="1"/>
  <c r="G19" s="1"/>
  <c r="AE19" s="1"/>
  <c r="D20"/>
  <c r="X32"/>
  <c r="Y32" s="1"/>
  <c r="G32" s="1"/>
  <c r="AE32" s="1"/>
  <c r="W20"/>
  <c r="X20" s="1"/>
  <c r="W21"/>
  <c r="X21" s="1"/>
  <c r="W22"/>
  <c r="X22" s="1"/>
  <c r="Y22" s="1"/>
  <c r="G22" s="1"/>
  <c r="AE22" s="1"/>
  <c r="W23"/>
  <c r="X23" s="1"/>
  <c r="Y23" s="1"/>
  <c r="G23" s="1"/>
  <c r="AE23" s="1"/>
  <c r="W24"/>
  <c r="X24" s="1"/>
  <c r="Y24" s="1"/>
  <c r="G24" s="1"/>
  <c r="AE24" s="1"/>
  <c r="W25"/>
  <c r="X25" s="1"/>
  <c r="Y25" s="1"/>
  <c r="G25" s="1"/>
  <c r="AE25" s="1"/>
  <c r="W26"/>
  <c r="X26" s="1"/>
  <c r="Y26" s="1"/>
  <c r="G26" s="1"/>
  <c r="AE26" s="1"/>
  <c r="W27"/>
  <c r="X27" s="1"/>
  <c r="Y27" s="1"/>
  <c r="G27" s="1"/>
  <c r="AE27" s="1"/>
  <c r="W28"/>
  <c r="X28" s="1"/>
  <c r="Y28" s="1"/>
  <c r="G28" s="1"/>
  <c r="AE28" s="1"/>
  <c r="W29"/>
  <c r="X29" s="1"/>
  <c r="Y29" s="1"/>
  <c r="G29" s="1"/>
  <c r="AE29" s="1"/>
  <c r="W30"/>
  <c r="X30" s="1"/>
  <c r="Y30" s="1"/>
  <c r="G30" s="1"/>
  <c r="AE30" s="1"/>
  <c r="W31"/>
  <c r="X31" s="1"/>
  <c r="Y31" s="1"/>
  <c r="G31" s="1"/>
  <c r="AE31" s="1"/>
  <c r="W3" l="1"/>
  <c r="X16"/>
  <c r="X12"/>
  <c r="X3"/>
  <c r="AC19"/>
  <c r="Y16"/>
  <c r="AC15"/>
  <c r="Y12"/>
  <c r="Y3"/>
  <c r="AC31"/>
  <c r="Y21"/>
  <c r="AC30"/>
  <c r="Y20"/>
  <c r="AA30" l="1"/>
  <c r="G20"/>
  <c r="AE20" s="1"/>
  <c r="AA31"/>
  <c r="G21"/>
  <c r="AE21" s="1"/>
  <c r="G3"/>
  <c r="AE3" s="1"/>
  <c r="AA15"/>
  <c r="G12"/>
  <c r="AE12" s="1"/>
  <c r="AF15" s="1"/>
  <c r="AA19"/>
  <c r="G16"/>
  <c r="AE16" s="1"/>
  <c r="AF19" s="1"/>
</calcChain>
</file>

<file path=xl/sharedStrings.xml><?xml version="1.0" encoding="utf-8"?>
<sst xmlns="http://schemas.openxmlformats.org/spreadsheetml/2006/main" count="214" uniqueCount="104">
  <si>
    <t>Macromolecule</t>
  </si>
  <si>
    <t>overall wt%</t>
  </si>
  <si>
    <t>overall wt DW%</t>
  </si>
  <si>
    <t>composition (molar fraction)</t>
  </si>
  <si>
    <t>composition (normalized molar fraction)</t>
  </si>
  <si>
    <t>mmol/gDW (Calc.)</t>
  </si>
  <si>
    <t>metabolite</t>
  </si>
  <si>
    <t>location</t>
  </si>
  <si>
    <t>type</t>
  </si>
  <si>
    <t>formula</t>
  </si>
  <si>
    <t>C</t>
  </si>
  <si>
    <t>H</t>
  </si>
  <si>
    <t>N</t>
  </si>
  <si>
    <t>O</t>
  </si>
  <si>
    <t>P</t>
  </si>
  <si>
    <t>S</t>
  </si>
  <si>
    <t>MW (mg/mmol)</t>
  </si>
  <si>
    <t>mg (if total 1 mmol)</t>
  </si>
  <si>
    <t>total wt (mg)</t>
  </si>
  <si>
    <t>composition (weight fraction)</t>
  </si>
  <si>
    <t>g/gDW</t>
  </si>
  <si>
    <t>mmol/gDW</t>
  </si>
  <si>
    <t>total mmols material</t>
  </si>
  <si>
    <t>class</t>
  </si>
  <si>
    <t>final wt%</t>
  </si>
  <si>
    <t>H Barle 96</t>
  </si>
  <si>
    <t>Protein</t>
  </si>
  <si>
    <t>ala-L</t>
  </si>
  <si>
    <t>cytoplasm</t>
  </si>
  <si>
    <t>AA</t>
  </si>
  <si>
    <t>C3H7NO2</t>
  </si>
  <si>
    <t>asn-L</t>
  </si>
  <si>
    <t>C4H8N2O3</t>
  </si>
  <si>
    <t>asp-L</t>
  </si>
  <si>
    <t>C4H6NO4</t>
  </si>
  <si>
    <t>A Triguero 97</t>
  </si>
  <si>
    <t>cys-L</t>
  </si>
  <si>
    <t>C3H7NO2S</t>
  </si>
  <si>
    <t>gln-L</t>
  </si>
  <si>
    <t>C5H10N2O3</t>
  </si>
  <si>
    <t>glu-L</t>
  </si>
  <si>
    <t>C5H8NO4</t>
  </si>
  <si>
    <t>gly</t>
  </si>
  <si>
    <t>C2H5NO2</t>
  </si>
  <si>
    <t>pro-L</t>
  </si>
  <si>
    <t>C5H9NO2</t>
  </si>
  <si>
    <t>ser-L</t>
  </si>
  <si>
    <t>C3H7NO3</t>
  </si>
  <si>
    <t>K Sheikh 05</t>
  </si>
  <si>
    <t>DNA</t>
  </si>
  <si>
    <t>damp</t>
  </si>
  <si>
    <t>C10H12N5O6P</t>
  </si>
  <si>
    <t xml:space="preserve"> </t>
  </si>
  <si>
    <t>dcmp</t>
  </si>
  <si>
    <t>C9H12N3O7P</t>
  </si>
  <si>
    <t>dgmp</t>
  </si>
  <si>
    <t>C10H12N5O7P</t>
  </si>
  <si>
    <t>dtmp</t>
  </si>
  <si>
    <t>C10H13N2O8P</t>
  </si>
  <si>
    <t>RNA</t>
  </si>
  <si>
    <t>cmp</t>
  </si>
  <si>
    <t>C9H12N3O8P</t>
  </si>
  <si>
    <t>gmp</t>
  </si>
  <si>
    <t>C10H12N5O8P</t>
  </si>
  <si>
    <t>ump</t>
  </si>
  <si>
    <t>C9H11N2O9P</t>
  </si>
  <si>
    <t>amp</t>
  </si>
  <si>
    <t>C10H12N5O9P</t>
  </si>
  <si>
    <t>Rabinowitz, J. L. et al., 1992</t>
  </si>
  <si>
    <t>lipid</t>
  </si>
  <si>
    <t>sphmyln_hs</t>
  </si>
  <si>
    <t>C23H48N2O5P1</t>
  </si>
  <si>
    <t>chsterol</t>
  </si>
  <si>
    <t>C27H46O1</t>
  </si>
  <si>
    <t>xolest_hs</t>
  </si>
  <si>
    <t>C27H45XCO2</t>
  </si>
  <si>
    <t>mag_hs</t>
  </si>
  <si>
    <t>C3H7O2FULLR2CO2</t>
  </si>
  <si>
    <t>dag_hs</t>
  </si>
  <si>
    <t>C3H6OFullRCO2FullR2CO2</t>
  </si>
  <si>
    <t>pail_hs</t>
  </si>
  <si>
    <t>C9H16O9PFullRCO2FullR2CO2</t>
  </si>
  <si>
    <t>pe_hs</t>
  </si>
  <si>
    <t>C5H12NO4PFullRCO2FullR2CO2</t>
  </si>
  <si>
    <t>ps_hs</t>
  </si>
  <si>
    <t>C6H11NO6PFullRCO2FullR2CO2</t>
  </si>
  <si>
    <t>pchol_hs</t>
  </si>
  <si>
    <t>C10H18NO4P1FullRCO2FullR2CO2</t>
  </si>
  <si>
    <t>lpchol_hs</t>
  </si>
  <si>
    <t>C8H19NO5PFullRCO2</t>
  </si>
  <si>
    <t>clpn_hs</t>
  </si>
  <si>
    <t>C9H16O9P2FullRCO2FullR2CO2FullRCO2FullR2CO2</t>
  </si>
  <si>
    <t>pa_hs</t>
  </si>
  <si>
    <t>C3H5O4PFullRCO2FullR2CO2</t>
  </si>
  <si>
    <t>tag_hs</t>
  </si>
  <si>
    <t>C3H5FullRCO2FullR2CO2FullR3CO2</t>
  </si>
  <si>
    <t>free fatty acids</t>
  </si>
  <si>
    <t>fatty acid esters</t>
  </si>
  <si>
    <t>undetermined</t>
  </si>
  <si>
    <t>Reference</t>
  </si>
  <si>
    <t>Total dry weight</t>
  </si>
  <si>
    <t>Biomass reaction formula:</t>
  </si>
  <si>
    <t xml:space="preserve">0.53602 ala-DASH-L[c] + 0.023165 amp[c] + 0.05444 asn-DASH-L[c] + 3.1282 asp-DASH-L[c] + 100 atp[c] + 0.044228 chsterol[c] + 0.0030671 clpn-hs[c] + 0.038608 cmp[c] + 0.016827 dag-hs[c] + 0.0094984 damp[c] + 0.0063323 dcmp[c] + 0.0063323 dgmp[c] + 0.0094984 dtmp[c] + 0.75797 gln-DASH-L[c] + 0.86266 glu-DASH-L[c] + 0.62815 gly[c] + 0.043755 gmp[c] + 100 h2o[c] + 0.00676 lpchol-hs[c] + 0.020642 mag-hs[c] + 0.087773 pa-hs[c] + 0.016562 pail-hs[c] + 0.09182 pchol-hs[c] + 0.10722 pe-hs[c] + 0.081241 pro-DASH-L[c] + 0.031502 ps-hs[c] + 0.16751 ser-DASH-L[c] + 0.01291 sphmyln-hs[c] + 0.14696 tag-hs[c] + 0.023165 ump[c] + 0.03514 xolest-hs[c]  -&gt; 100 adp[c] + 100 h[c] + 100 pi[c] </t>
  </si>
  <si>
    <r>
      <rPr>
        <b/>
        <u/>
        <sz val="11"/>
        <rFont val="DejaVu Sans Mono"/>
        <charset val="177"/>
      </rPr>
      <t>Dataset S1:</t>
    </r>
    <r>
      <rPr>
        <b/>
        <sz val="11"/>
        <rFont val="DejaVu Sans Mono"/>
        <family val="2"/>
        <charset val="1"/>
      </rPr>
      <t xml:space="preserve"> Human Biomass Composition</t>
    </r>
  </si>
</sst>
</file>

<file path=xl/styles.xml><?xml version="1.0" encoding="utf-8"?>
<styleSheet xmlns="http://schemas.openxmlformats.org/spreadsheetml/2006/main">
  <numFmts count="3">
    <numFmt numFmtId="164" formatCode="0.000000"/>
    <numFmt numFmtId="165" formatCode="0.000"/>
    <numFmt numFmtId="166" formatCode="0.0000"/>
  </numFmts>
  <fonts count="9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DejaVu Sans Mono"/>
      <family val="2"/>
      <charset val="1"/>
    </font>
    <font>
      <sz val="9"/>
      <name val="DejaVu Sans Mono"/>
      <family val="2"/>
      <charset val="1"/>
    </font>
    <font>
      <b/>
      <sz val="11"/>
      <name val="DejaVu Sans Mono"/>
      <family val="2"/>
      <charset val="1"/>
    </font>
    <font>
      <b/>
      <u/>
      <sz val="11"/>
      <name val="DejaVu Sans Mono"/>
      <charset val="177"/>
    </font>
    <font>
      <b/>
      <sz val="11"/>
      <name val="DejaVu Sans Mono"/>
      <charset val="177"/>
    </font>
    <font>
      <sz val="8"/>
      <name val="DejaVu Sans Mono"/>
      <family val="2"/>
      <charset val="1"/>
    </font>
    <font>
      <b/>
      <u/>
      <sz val="8"/>
      <name val="DejaVu Sans Mono"/>
      <charset val="177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2"/>
        <bgColor indexed="27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22"/>
      </patternFill>
    </fill>
    <fill>
      <patternFill patternType="solid">
        <fgColor indexed="27"/>
        <bgColor indexed="41"/>
      </patternFill>
    </fill>
  </fills>
  <borders count="4">
    <border>
      <left/>
      <right/>
      <top/>
      <bottom/>
      <diagonal/>
    </border>
    <border>
      <left style="medium">
        <color indexed="59"/>
      </left>
      <right/>
      <top style="medium">
        <color indexed="59"/>
      </top>
      <bottom/>
      <diagonal/>
    </border>
    <border>
      <left/>
      <right/>
      <top style="medium">
        <color indexed="59"/>
      </top>
      <bottom/>
      <diagonal/>
    </border>
    <border>
      <left style="medium">
        <color indexed="59"/>
      </left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5" fontId="3" fillId="0" borderId="0" xfId="0" applyNumberFormat="1" applyFont="1"/>
    <xf numFmtId="0" fontId="6" fillId="0" borderId="0" xfId="0" applyFont="1" applyFill="1"/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164" fontId="7" fillId="0" borderId="2" xfId="0" applyNumberFormat="1" applyFont="1" applyBorder="1" applyAlignment="1">
      <alignment horizontal="center" vertical="center" wrapText="1"/>
    </xf>
    <xf numFmtId="165" fontId="7" fillId="0" borderId="2" xfId="0" applyNumberFormat="1" applyFont="1" applyBorder="1" applyAlignment="1">
      <alignment horizontal="center" vertical="center" wrapText="1"/>
    </xf>
    <xf numFmtId="165" fontId="7" fillId="2" borderId="2" xfId="0" applyNumberFormat="1" applyFont="1" applyFill="1" applyBorder="1" applyAlignment="1">
      <alignment horizontal="center" vertical="center" wrapText="1"/>
    </xf>
    <xf numFmtId="0" fontId="7" fillId="3" borderId="3" xfId="0" applyFont="1" applyFill="1" applyBorder="1"/>
    <xf numFmtId="0" fontId="7" fillId="3" borderId="0" xfId="0" applyFont="1" applyFill="1" applyBorder="1"/>
    <xf numFmtId="166" fontId="7" fillId="3" borderId="0" xfId="0" applyNumberFormat="1" applyFont="1" applyFill="1" applyBorder="1"/>
    <xf numFmtId="164" fontId="7" fillId="3" borderId="0" xfId="0" applyNumberFormat="1" applyFont="1" applyFill="1" applyBorder="1"/>
    <xf numFmtId="166" fontId="7" fillId="3" borderId="0" xfId="0" applyNumberFormat="1" applyFont="1" applyFill="1" applyBorder="1" applyAlignment="1">
      <alignment horizontal="right"/>
    </xf>
    <xf numFmtId="0" fontId="7" fillId="3" borderId="0" xfId="0" applyFont="1" applyFill="1" applyBorder="1" applyAlignment="1">
      <alignment horizontal="right"/>
    </xf>
    <xf numFmtId="165" fontId="7" fillId="3" borderId="0" xfId="0" applyNumberFormat="1" applyFont="1" applyFill="1" applyBorder="1"/>
    <xf numFmtId="0" fontId="7" fillId="4" borderId="3" xfId="0" applyFont="1" applyFill="1" applyBorder="1" applyAlignment="1"/>
    <xf numFmtId="0" fontId="7" fillId="4" borderId="0" xfId="0" applyFont="1" applyFill="1" applyBorder="1"/>
    <xf numFmtId="166" fontId="7" fillId="4" borderId="0" xfId="0" applyNumberFormat="1" applyFont="1" applyFill="1" applyBorder="1"/>
    <xf numFmtId="164" fontId="7" fillId="4" borderId="0" xfId="0" applyNumberFormat="1" applyFont="1" applyFill="1" applyBorder="1"/>
    <xf numFmtId="0" fontId="7" fillId="4" borderId="0" xfId="0" applyNumberFormat="1" applyFont="1" applyFill="1" applyBorder="1"/>
    <xf numFmtId="166" fontId="7" fillId="4" borderId="0" xfId="0" applyNumberFormat="1" applyFont="1" applyFill="1" applyBorder="1" applyAlignment="1">
      <alignment horizontal="right"/>
    </xf>
    <xf numFmtId="0" fontId="7" fillId="4" borderId="0" xfId="0" applyFont="1" applyFill="1" applyBorder="1" applyAlignment="1">
      <alignment horizontal="right"/>
    </xf>
    <xf numFmtId="165" fontId="7" fillId="4" borderId="0" xfId="0" applyNumberFormat="1" applyFont="1" applyFill="1" applyBorder="1" applyAlignment="1">
      <alignment horizontal="right"/>
    </xf>
    <xf numFmtId="0" fontId="7" fillId="5" borderId="0" xfId="0" applyFont="1" applyFill="1" applyBorder="1"/>
    <xf numFmtId="166" fontId="7" fillId="5" borderId="0" xfId="0" applyNumberFormat="1" applyFont="1" applyFill="1" applyBorder="1"/>
    <xf numFmtId="164" fontId="7" fillId="5" borderId="0" xfId="0" applyNumberFormat="1" applyFont="1" applyFill="1" applyBorder="1"/>
    <xf numFmtId="0" fontId="7" fillId="5" borderId="0" xfId="0" applyNumberFormat="1" applyFont="1" applyFill="1" applyBorder="1"/>
    <xf numFmtId="166" fontId="7" fillId="5" borderId="0" xfId="0" applyNumberFormat="1" applyFont="1" applyFill="1" applyBorder="1" applyAlignment="1">
      <alignment horizontal="right"/>
    </xf>
    <xf numFmtId="0" fontId="7" fillId="5" borderId="0" xfId="0" applyFont="1" applyFill="1" applyBorder="1" applyAlignment="1">
      <alignment horizontal="right"/>
    </xf>
    <xf numFmtId="165" fontId="7" fillId="5" borderId="0" xfId="0" applyNumberFormat="1" applyFont="1" applyFill="1" applyBorder="1" applyAlignment="1">
      <alignment horizontal="right"/>
    </xf>
    <xf numFmtId="0" fontId="7" fillId="6" borderId="3" xfId="0" applyFont="1" applyFill="1" applyBorder="1" applyAlignment="1"/>
    <xf numFmtId="0" fontId="7" fillId="6" borderId="0" xfId="0" applyFont="1" applyFill="1" applyBorder="1"/>
    <xf numFmtId="166" fontId="7" fillId="6" borderId="0" xfId="0" applyNumberFormat="1" applyFont="1" applyFill="1" applyBorder="1"/>
    <xf numFmtId="164" fontId="7" fillId="6" borderId="0" xfId="0" applyNumberFormat="1" applyFont="1" applyFill="1" applyBorder="1"/>
    <xf numFmtId="10" fontId="7" fillId="6" borderId="0" xfId="0" applyNumberFormat="1" applyFont="1" applyFill="1" applyBorder="1"/>
    <xf numFmtId="0" fontId="7" fillId="6" borderId="0" xfId="0" applyFont="1" applyFill="1" applyBorder="1" applyAlignment="1">
      <alignment horizontal="center"/>
    </xf>
    <xf numFmtId="166" fontId="7" fillId="6" borderId="0" xfId="0" applyNumberFormat="1" applyFont="1" applyFill="1" applyBorder="1" applyAlignment="1">
      <alignment horizontal="right"/>
    </xf>
    <xf numFmtId="165" fontId="7" fillId="6" borderId="0" xfId="0" applyNumberFormat="1" applyFont="1" applyFill="1" applyBorder="1" applyAlignment="1">
      <alignment horizontal="right"/>
    </xf>
    <xf numFmtId="10" fontId="7" fillId="6" borderId="0" xfId="0" applyNumberFormat="1" applyFont="1" applyFill="1" applyBorder="1" applyAlignment="1">
      <alignment horizontal="right"/>
    </xf>
    <xf numFmtId="0" fontId="7" fillId="0" borderId="0" xfId="0" applyFont="1"/>
    <xf numFmtId="166" fontId="7" fillId="0" borderId="0" xfId="0" applyNumberFormat="1" applyFont="1"/>
    <xf numFmtId="164" fontId="7" fillId="0" borderId="0" xfId="0" applyNumberFormat="1" applyFont="1"/>
    <xf numFmtId="0" fontId="7" fillId="0" borderId="0" xfId="0" applyFont="1" applyFill="1"/>
    <xf numFmtId="0" fontId="0" fillId="0" borderId="0" xfId="0" applyNumberFormat="1" applyAlignment="1">
      <alignment wrapText="1"/>
    </xf>
    <xf numFmtId="0" fontId="8" fillId="0" borderId="0" xfId="0" applyFont="1" applyFill="1" applyBorder="1" applyAlignme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omerWork/Warburg/human_model/biomass/liver_biomass_no_essential_aa_17021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vidson57"/>
      <sheetName val="Rabinowitz92"/>
      <sheetName val="liver biomass"/>
      <sheetName val="Uptake Measurements"/>
      <sheetName val="liver_biomass_no_essential_aa_1"/>
    </sheetNames>
    <sheetDataSet>
      <sheetData sheetId="0">
        <row r="2">
          <cell r="C2">
            <v>0.18655186551865521</v>
          </cell>
        </row>
        <row r="3">
          <cell r="C3">
            <v>1.1275112751127513E-2</v>
          </cell>
        </row>
        <row r="4">
          <cell r="C4">
            <v>2.8700287002870032E-2</v>
          </cell>
        </row>
        <row r="7">
          <cell r="C7">
            <v>2.4600246002460025E-3</v>
          </cell>
        </row>
        <row r="8">
          <cell r="C8">
            <v>1.0455104551045511E-2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44"/>
  <sheetViews>
    <sheetView tabSelected="1" workbookViewId="0"/>
  </sheetViews>
  <sheetFormatPr defaultRowHeight="15"/>
  <cols>
    <col min="2" max="7" width="6.7109375" customWidth="1"/>
    <col min="10" max="10" width="4.42578125" customWidth="1"/>
    <col min="12" max="17" width="3.42578125" customWidth="1"/>
    <col min="18" max="20" width="7.140625" customWidth="1"/>
    <col min="21" max="22" width="4.7109375" customWidth="1"/>
    <col min="23" max="32" width="7.140625" customWidth="1"/>
  </cols>
  <sheetData>
    <row r="1" spans="1:32" ht="15.75" thickBot="1">
      <c r="A1" s="5" t="s">
        <v>103</v>
      </c>
      <c r="B1" s="2"/>
      <c r="C1" s="2"/>
      <c r="D1" s="2"/>
      <c r="E1" s="2"/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4"/>
      <c r="Y1" s="4"/>
      <c r="Z1" s="1"/>
      <c r="AA1" s="1"/>
      <c r="AB1" s="1"/>
      <c r="AC1" s="1"/>
      <c r="AD1" s="1"/>
      <c r="AE1" s="1"/>
      <c r="AF1" s="1"/>
    </row>
    <row r="2" spans="1:32" ht="78.75">
      <c r="A2" s="6" t="s">
        <v>99</v>
      </c>
      <c r="B2" s="7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8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7" t="s">
        <v>16</v>
      </c>
      <c r="S2" s="7" t="s">
        <v>17</v>
      </c>
      <c r="T2" s="7" t="s">
        <v>18</v>
      </c>
      <c r="U2" s="7"/>
      <c r="V2" s="7"/>
      <c r="W2" s="7" t="s">
        <v>19</v>
      </c>
      <c r="X2" s="9" t="s">
        <v>20</v>
      </c>
      <c r="Y2" s="10" t="s">
        <v>21</v>
      </c>
      <c r="Z2" s="7"/>
      <c r="AA2" s="7" t="s">
        <v>22</v>
      </c>
      <c r="AB2" s="7" t="s">
        <v>23</v>
      </c>
      <c r="AC2" s="7" t="s">
        <v>24</v>
      </c>
      <c r="AD2" s="7"/>
      <c r="AE2" s="7" t="s">
        <v>20</v>
      </c>
      <c r="AF2" s="7" t="s">
        <v>20</v>
      </c>
    </row>
    <row r="3" spans="1:32" ht="11.25" customHeight="1">
      <c r="A3" s="11" t="s">
        <v>25</v>
      </c>
      <c r="B3" s="12" t="s">
        <v>26</v>
      </c>
      <c r="C3" s="13">
        <f>[1]Davidson57!C2</f>
        <v>0.18655186551865521</v>
      </c>
      <c r="D3" s="13">
        <f>C3/$C$36</f>
        <v>0.77910958904109595</v>
      </c>
      <c r="E3" s="13">
        <v>8.0417164038449465E-2</v>
      </c>
      <c r="F3" s="13">
        <f t="shared" ref="F3:F11" si="0">E3/SUM($E$3:$E$11)</f>
        <v>8.6230126650498534E-2</v>
      </c>
      <c r="G3" s="14">
        <f t="shared" ref="G3:G32" si="1">Y3</f>
        <v>0.53602301457529999</v>
      </c>
      <c r="H3" s="12" t="s">
        <v>27</v>
      </c>
      <c r="I3" s="12" t="s">
        <v>28</v>
      </c>
      <c r="J3" s="12" t="s">
        <v>29</v>
      </c>
      <c r="K3" s="12" t="s">
        <v>30</v>
      </c>
      <c r="L3" s="12">
        <v>3</v>
      </c>
      <c r="M3" s="12">
        <v>7</v>
      </c>
      <c r="N3" s="12">
        <v>1</v>
      </c>
      <c r="O3" s="12">
        <v>2</v>
      </c>
      <c r="P3" s="12">
        <v>0</v>
      </c>
      <c r="Q3" s="12">
        <v>0</v>
      </c>
      <c r="R3" s="12">
        <f t="shared" ref="R3:R32" si="2">(L3*12.011)+(M3*1.008)+(O3*15.999)+(14.007*N3)+(P3*30.974)+(Q3*32.066)</f>
        <v>89.094000000000008</v>
      </c>
      <c r="S3" s="12">
        <f>F3*R3</f>
        <v>7.6825869037995167</v>
      </c>
      <c r="T3" s="12">
        <f>SUM(S3:S11)</f>
        <v>125.33551118296955</v>
      </c>
      <c r="U3" s="12"/>
      <c r="V3" s="12"/>
      <c r="W3" s="15">
        <f t="shared" ref="W3:W11" si="3">S3/$T$3</f>
        <v>6.12961708241185E-2</v>
      </c>
      <c r="X3" s="15">
        <f>W3*$D$3</f>
        <v>4.7756434460571782E-2</v>
      </c>
      <c r="Y3" s="15">
        <f t="shared" ref="Y3:Y32" si="4">X3/R3*1000</f>
        <v>0.53602301457529999</v>
      </c>
      <c r="Z3" s="12"/>
      <c r="AA3" s="12"/>
      <c r="AB3" s="12"/>
      <c r="AC3" s="12"/>
      <c r="AD3" s="12"/>
      <c r="AE3" s="12">
        <f t="shared" ref="AE3:AE32" si="5">(G3*R3)/1000</f>
        <v>4.7756434460571782E-2</v>
      </c>
      <c r="AF3" s="12"/>
    </row>
    <row r="4" spans="1:32" ht="11.25" customHeight="1">
      <c r="A4" s="11" t="s">
        <v>25</v>
      </c>
      <c r="B4" s="12"/>
      <c r="C4" s="13"/>
      <c r="D4" s="13"/>
      <c r="E4" s="13">
        <v>8.1673682226550241E-3</v>
      </c>
      <c r="F4" s="13">
        <f t="shared" si="0"/>
        <v>8.7577472379412567E-3</v>
      </c>
      <c r="G4" s="14">
        <f t="shared" si="1"/>
        <v>5.44398374178039E-2</v>
      </c>
      <c r="H4" s="12" t="s">
        <v>31</v>
      </c>
      <c r="I4" s="12" t="s">
        <v>28</v>
      </c>
      <c r="J4" s="12" t="s">
        <v>29</v>
      </c>
      <c r="K4" s="12" t="s">
        <v>32</v>
      </c>
      <c r="L4" s="12">
        <v>4</v>
      </c>
      <c r="M4" s="12">
        <v>8</v>
      </c>
      <c r="N4" s="12">
        <v>2</v>
      </c>
      <c r="O4" s="12">
        <v>3</v>
      </c>
      <c r="P4" s="12">
        <v>0</v>
      </c>
      <c r="Q4" s="12">
        <v>0</v>
      </c>
      <c r="R4" s="12">
        <f t="shared" si="2"/>
        <v>132.119</v>
      </c>
      <c r="S4" s="12">
        <f t="shared" ref="S4:S11" si="6">F4*R4</f>
        <v>1.1570648073295609</v>
      </c>
      <c r="T4" s="12"/>
      <c r="U4" s="12"/>
      <c r="V4" s="12"/>
      <c r="W4" s="15">
        <f t="shared" si="3"/>
        <v>9.2317396435271527E-3</v>
      </c>
      <c r="X4" s="15">
        <f t="shared" ref="X4:X11" si="7">W4*$D$3</f>
        <v>7.1925368798028333E-3</v>
      </c>
      <c r="Y4" s="15">
        <f t="shared" si="4"/>
        <v>5.44398374178039E-2</v>
      </c>
      <c r="Z4" s="12"/>
      <c r="AA4" s="12"/>
      <c r="AB4" s="12"/>
      <c r="AC4" s="12"/>
      <c r="AD4" s="12"/>
      <c r="AE4" s="12">
        <f t="shared" si="5"/>
        <v>7.1925368798028341E-3</v>
      </c>
      <c r="AF4" s="12"/>
    </row>
    <row r="5" spans="1:32" ht="11.25" customHeight="1">
      <c r="A5" s="11" t="s">
        <v>25</v>
      </c>
      <c r="B5" s="12"/>
      <c r="C5" s="13"/>
      <c r="D5" s="13"/>
      <c r="E5" s="13">
        <v>0.46930954325563862</v>
      </c>
      <c r="F5" s="13">
        <f t="shared" si="0"/>
        <v>0.50323362974939367</v>
      </c>
      <c r="G5" s="14">
        <f t="shared" si="1"/>
        <v>3.1281968116230394</v>
      </c>
      <c r="H5" s="12" t="s">
        <v>33</v>
      </c>
      <c r="I5" s="12" t="s">
        <v>28</v>
      </c>
      <c r="J5" s="12" t="s">
        <v>29</v>
      </c>
      <c r="K5" s="12" t="s">
        <v>34</v>
      </c>
      <c r="L5" s="12">
        <v>4</v>
      </c>
      <c r="M5" s="12">
        <v>6</v>
      </c>
      <c r="N5" s="12">
        <v>1</v>
      </c>
      <c r="O5" s="12">
        <v>4</v>
      </c>
      <c r="P5" s="12">
        <v>0</v>
      </c>
      <c r="Q5" s="12">
        <v>0</v>
      </c>
      <c r="R5" s="12">
        <f t="shared" si="2"/>
        <v>132.095</v>
      </c>
      <c r="S5" s="12">
        <f t="shared" si="6"/>
        <v>66.474646321746164</v>
      </c>
      <c r="T5" s="12"/>
      <c r="U5" s="12"/>
      <c r="V5" s="12"/>
      <c r="W5" s="15">
        <f t="shared" si="3"/>
        <v>0.53037360038133119</v>
      </c>
      <c r="X5" s="15">
        <f t="shared" si="7"/>
        <v>0.41321915783134539</v>
      </c>
      <c r="Y5" s="15">
        <f t="shared" si="4"/>
        <v>3.1281968116230394</v>
      </c>
      <c r="Z5" s="12"/>
      <c r="AA5" s="12"/>
      <c r="AB5" s="12"/>
      <c r="AC5" s="12"/>
      <c r="AD5" s="12"/>
      <c r="AE5" s="12">
        <f t="shared" si="5"/>
        <v>0.41321915783134539</v>
      </c>
      <c r="AF5" s="12"/>
    </row>
    <row r="6" spans="1:32" ht="11.25" customHeight="1">
      <c r="A6" s="11" t="s">
        <v>35</v>
      </c>
      <c r="B6" s="12"/>
      <c r="C6" s="13"/>
      <c r="D6" s="13"/>
      <c r="E6" s="13">
        <v>0</v>
      </c>
      <c r="F6" s="13">
        <f t="shared" si="0"/>
        <v>0</v>
      </c>
      <c r="G6" s="14">
        <f t="shared" si="1"/>
        <v>0</v>
      </c>
      <c r="H6" s="12" t="s">
        <v>36</v>
      </c>
      <c r="I6" s="12" t="s">
        <v>28</v>
      </c>
      <c r="J6" s="12" t="s">
        <v>29</v>
      </c>
      <c r="K6" s="12" t="s">
        <v>37</v>
      </c>
      <c r="L6" s="12">
        <v>3</v>
      </c>
      <c r="M6" s="12">
        <v>7</v>
      </c>
      <c r="N6" s="12">
        <v>1</v>
      </c>
      <c r="O6" s="12">
        <v>2</v>
      </c>
      <c r="P6" s="12">
        <v>0</v>
      </c>
      <c r="Q6" s="12">
        <v>1</v>
      </c>
      <c r="R6" s="12">
        <f t="shared" si="2"/>
        <v>121.16000000000001</v>
      </c>
      <c r="S6" s="12">
        <f t="shared" si="6"/>
        <v>0</v>
      </c>
      <c r="T6" s="12"/>
      <c r="U6" s="12"/>
      <c r="V6" s="12"/>
      <c r="W6" s="15">
        <f t="shared" si="3"/>
        <v>0</v>
      </c>
      <c r="X6" s="15">
        <f t="shared" si="7"/>
        <v>0</v>
      </c>
      <c r="Y6" s="15">
        <f t="shared" si="4"/>
        <v>0</v>
      </c>
      <c r="Z6" s="12"/>
      <c r="AA6" s="12"/>
      <c r="AB6" s="12"/>
      <c r="AC6" s="12"/>
      <c r="AD6" s="12"/>
      <c r="AE6" s="12">
        <f t="shared" si="5"/>
        <v>0</v>
      </c>
      <c r="AF6" s="12"/>
    </row>
    <row r="7" spans="1:32" ht="11.25" customHeight="1">
      <c r="A7" s="11" t="s">
        <v>25</v>
      </c>
      <c r="B7" s="12"/>
      <c r="C7" s="13"/>
      <c r="D7" s="13"/>
      <c r="E7" s="13">
        <v>0.12942137337437959</v>
      </c>
      <c r="F7" s="13">
        <f t="shared" si="0"/>
        <v>0.13877661007814604</v>
      </c>
      <c r="G7" s="14">
        <f t="shared" si="1"/>
        <v>0.86266203908212324</v>
      </c>
      <c r="H7" s="12" t="s">
        <v>38</v>
      </c>
      <c r="I7" s="12" t="s">
        <v>28</v>
      </c>
      <c r="J7" s="12" t="s">
        <v>29</v>
      </c>
      <c r="K7" s="12" t="s">
        <v>39</v>
      </c>
      <c r="L7" s="12">
        <v>5</v>
      </c>
      <c r="M7" s="12">
        <v>10</v>
      </c>
      <c r="N7" s="12">
        <v>2</v>
      </c>
      <c r="O7" s="12">
        <v>3</v>
      </c>
      <c r="P7" s="12">
        <v>0</v>
      </c>
      <c r="Q7" s="12">
        <v>0</v>
      </c>
      <c r="R7" s="12">
        <f t="shared" si="2"/>
        <v>146.14599999999999</v>
      </c>
      <c r="S7" s="12">
        <f t="shared" si="6"/>
        <v>20.281646456480729</v>
      </c>
      <c r="T7" s="12"/>
      <c r="U7" s="12"/>
      <c r="V7" s="12"/>
      <c r="W7" s="15">
        <f t="shared" si="3"/>
        <v>0.16181883542065592</v>
      </c>
      <c r="X7" s="15">
        <f t="shared" si="7"/>
        <v>0.12607460636369597</v>
      </c>
      <c r="Y7" s="15">
        <f t="shared" si="4"/>
        <v>0.86266203908212324</v>
      </c>
      <c r="Z7" s="12"/>
      <c r="AA7" s="12"/>
      <c r="AB7" s="12"/>
      <c r="AC7" s="12"/>
      <c r="AD7" s="12"/>
      <c r="AE7" s="12">
        <f t="shared" si="5"/>
        <v>0.12607460636369597</v>
      </c>
      <c r="AF7" s="12"/>
    </row>
    <row r="8" spans="1:32" ht="11.25" customHeight="1">
      <c r="A8" s="11" t="s">
        <v>25</v>
      </c>
      <c r="B8" s="12"/>
      <c r="C8" s="13"/>
      <c r="D8" s="13"/>
      <c r="E8" s="13">
        <v>0.11371489602311993</v>
      </c>
      <c r="F8" s="13">
        <f t="shared" si="0"/>
        <v>0.12193478846672057</v>
      </c>
      <c r="G8" s="14">
        <f t="shared" si="1"/>
        <v>0.75797004404788504</v>
      </c>
      <c r="H8" s="12" t="s">
        <v>40</v>
      </c>
      <c r="I8" s="12" t="s">
        <v>28</v>
      </c>
      <c r="J8" s="12" t="s">
        <v>29</v>
      </c>
      <c r="K8" s="12" t="s">
        <v>41</v>
      </c>
      <c r="L8" s="12">
        <v>5</v>
      </c>
      <c r="M8" s="12">
        <v>8</v>
      </c>
      <c r="N8" s="12">
        <v>1</v>
      </c>
      <c r="O8" s="12">
        <v>4</v>
      </c>
      <c r="P8" s="12">
        <v>0</v>
      </c>
      <c r="Q8" s="12">
        <v>0</v>
      </c>
      <c r="R8" s="12">
        <f t="shared" si="2"/>
        <v>146.12200000000001</v>
      </c>
      <c r="S8" s="12">
        <f t="shared" si="6"/>
        <v>17.817355160334145</v>
      </c>
      <c r="T8" s="12"/>
      <c r="U8" s="12"/>
      <c r="V8" s="12"/>
      <c r="W8" s="15">
        <f t="shared" si="3"/>
        <v>0.14215727842944439</v>
      </c>
      <c r="X8" s="15">
        <f t="shared" si="7"/>
        <v>0.11075609877636508</v>
      </c>
      <c r="Y8" s="15">
        <f t="shared" si="4"/>
        <v>0.75797004404788504</v>
      </c>
      <c r="Z8" s="12"/>
      <c r="AA8" s="12"/>
      <c r="AB8" s="12"/>
      <c r="AC8" s="12"/>
      <c r="AD8" s="12"/>
      <c r="AE8" s="12">
        <f t="shared" si="5"/>
        <v>0.11075609877636507</v>
      </c>
      <c r="AF8" s="12"/>
    </row>
    <row r="9" spans="1:32" ht="11.25" customHeight="1">
      <c r="A9" s="11" t="s">
        <v>25</v>
      </c>
      <c r="B9" s="12"/>
      <c r="C9" s="13"/>
      <c r="D9" s="13"/>
      <c r="E9" s="13">
        <v>9.4238864107557954E-2</v>
      </c>
      <c r="F9" s="13">
        <f t="shared" si="0"/>
        <v>0.10105092966855295</v>
      </c>
      <c r="G9" s="14">
        <f t="shared" si="1"/>
        <v>0.62815197020542957</v>
      </c>
      <c r="H9" s="12" t="s">
        <v>42</v>
      </c>
      <c r="I9" s="12" t="s">
        <v>28</v>
      </c>
      <c r="J9" s="12" t="s">
        <v>29</v>
      </c>
      <c r="K9" s="12" t="s">
        <v>43</v>
      </c>
      <c r="L9" s="12">
        <v>2</v>
      </c>
      <c r="M9" s="12">
        <v>5</v>
      </c>
      <c r="N9" s="12">
        <v>1</v>
      </c>
      <c r="O9" s="12">
        <v>2</v>
      </c>
      <c r="P9" s="12">
        <v>0</v>
      </c>
      <c r="Q9" s="12">
        <v>0</v>
      </c>
      <c r="R9" s="12">
        <f t="shared" si="2"/>
        <v>75.067000000000007</v>
      </c>
      <c r="S9" s="12">
        <f t="shared" si="6"/>
        <v>7.5855901374292651</v>
      </c>
      <c r="T9" s="12"/>
      <c r="U9" s="12"/>
      <c r="V9" s="12"/>
      <c r="W9" s="15">
        <f t="shared" si="3"/>
        <v>6.0522273901731899E-2</v>
      </c>
      <c r="X9" s="15">
        <f t="shared" si="7"/>
        <v>4.7153483947410986E-2</v>
      </c>
      <c r="Y9" s="15">
        <f t="shared" si="4"/>
        <v>0.62815197020542957</v>
      </c>
      <c r="Z9" s="12"/>
      <c r="AA9" s="12"/>
      <c r="AB9" s="12"/>
      <c r="AC9" s="12"/>
      <c r="AD9" s="12"/>
      <c r="AE9" s="12">
        <f t="shared" si="5"/>
        <v>4.7153483947410986E-2</v>
      </c>
      <c r="AF9" s="12"/>
    </row>
    <row r="10" spans="1:32" ht="11.25" customHeight="1">
      <c r="A10" s="11" t="s">
        <v>35</v>
      </c>
      <c r="B10" s="12"/>
      <c r="C10" s="13"/>
      <c r="D10" s="13"/>
      <c r="E10" s="13">
        <v>1.2188226424577496E-2</v>
      </c>
      <c r="F10" s="13">
        <f t="shared" si="0"/>
        <v>1.3069253570466182E-2</v>
      </c>
      <c r="G10" s="14">
        <f t="shared" si="1"/>
        <v>8.1240988146568896E-2</v>
      </c>
      <c r="H10" s="12" t="s">
        <v>44</v>
      </c>
      <c r="I10" s="12" t="s">
        <v>28</v>
      </c>
      <c r="J10" s="12" t="s">
        <v>29</v>
      </c>
      <c r="K10" s="12" t="s">
        <v>45</v>
      </c>
      <c r="L10" s="12">
        <v>5</v>
      </c>
      <c r="M10" s="12">
        <v>9</v>
      </c>
      <c r="N10" s="12">
        <v>1</v>
      </c>
      <c r="O10" s="12">
        <v>2</v>
      </c>
      <c r="P10" s="12">
        <v>0</v>
      </c>
      <c r="Q10" s="12">
        <v>0</v>
      </c>
      <c r="R10" s="12">
        <f t="shared" si="2"/>
        <v>115.13200000000001</v>
      </c>
      <c r="S10" s="12">
        <f t="shared" si="6"/>
        <v>1.5046893020749126</v>
      </c>
      <c r="T10" s="12"/>
      <c r="U10" s="12"/>
      <c r="V10" s="12"/>
      <c r="W10" s="15">
        <f t="shared" si="3"/>
        <v>1.2005291141138043E-2</v>
      </c>
      <c r="X10" s="15">
        <f t="shared" si="7"/>
        <v>9.3534374472907713E-3</v>
      </c>
      <c r="Y10" s="15">
        <f t="shared" si="4"/>
        <v>8.1240988146568896E-2</v>
      </c>
      <c r="Z10" s="12"/>
      <c r="AA10" s="12"/>
      <c r="AB10" s="17"/>
      <c r="AC10" s="16"/>
      <c r="AD10" s="12"/>
      <c r="AE10" s="12">
        <f t="shared" si="5"/>
        <v>9.3534374472907713E-3</v>
      </c>
      <c r="AF10" s="12"/>
    </row>
    <row r="11" spans="1:32" ht="11.25" customHeight="1">
      <c r="A11" s="11" t="s">
        <v>25</v>
      </c>
      <c r="B11" s="12"/>
      <c r="C11" s="13"/>
      <c r="D11" s="13"/>
      <c r="E11" s="13">
        <v>2.5130363762015457E-2</v>
      </c>
      <c r="F11" s="13">
        <f t="shared" si="0"/>
        <v>2.694691457828079E-2</v>
      </c>
      <c r="G11" s="14">
        <f t="shared" si="1"/>
        <v>0.16750719205478126</v>
      </c>
      <c r="H11" s="12" t="s">
        <v>46</v>
      </c>
      <c r="I11" s="12" t="s">
        <v>28</v>
      </c>
      <c r="J11" s="12" t="s">
        <v>29</v>
      </c>
      <c r="K11" s="12" t="s">
        <v>47</v>
      </c>
      <c r="L11" s="12">
        <v>3</v>
      </c>
      <c r="M11" s="12">
        <v>7</v>
      </c>
      <c r="N11" s="12">
        <v>1</v>
      </c>
      <c r="O11" s="12">
        <v>3</v>
      </c>
      <c r="P11" s="12">
        <v>0</v>
      </c>
      <c r="Q11" s="12">
        <v>0</v>
      </c>
      <c r="R11" s="12">
        <f t="shared" si="2"/>
        <v>105.093</v>
      </c>
      <c r="S11" s="12">
        <f t="shared" si="6"/>
        <v>2.8319320937752632</v>
      </c>
      <c r="T11" s="12"/>
      <c r="U11" s="12"/>
      <c r="V11" s="12"/>
      <c r="W11" s="15">
        <f t="shared" si="3"/>
        <v>2.2594810258052891E-2</v>
      </c>
      <c r="X11" s="15">
        <f t="shared" si="7"/>
        <v>1.7603833334613128E-2</v>
      </c>
      <c r="Y11" s="15">
        <f t="shared" si="4"/>
        <v>0.16750719205478126</v>
      </c>
      <c r="Z11" s="12"/>
      <c r="AA11" s="12"/>
      <c r="AB11" s="12"/>
      <c r="AC11" s="16"/>
      <c r="AD11" s="12"/>
      <c r="AE11" s="12">
        <f t="shared" si="5"/>
        <v>1.7603833334613128E-2</v>
      </c>
      <c r="AF11" s="12"/>
    </row>
    <row r="12" spans="1:32" ht="11.25" customHeight="1">
      <c r="A12" s="18" t="s">
        <v>48</v>
      </c>
      <c r="B12" s="19" t="s">
        <v>49</v>
      </c>
      <c r="C12" s="20">
        <f>[1]Davidson57!C7</f>
        <v>2.4600246002460025E-3</v>
      </c>
      <c r="D12" s="20">
        <f>C12/$C$36</f>
        <v>1.0273972602739725E-2</v>
      </c>
      <c r="E12" s="20">
        <v>0.30000000000000004</v>
      </c>
      <c r="F12" s="20">
        <v>0.30000000000000004</v>
      </c>
      <c r="G12" s="21">
        <f t="shared" si="1"/>
        <v>9.4983997665977222E-3</v>
      </c>
      <c r="H12" s="19" t="s">
        <v>50</v>
      </c>
      <c r="I12" s="19" t="s">
        <v>28</v>
      </c>
      <c r="J12" s="19" t="s">
        <v>49</v>
      </c>
      <c r="K12" s="19" t="s">
        <v>51</v>
      </c>
      <c r="L12" s="19">
        <v>10</v>
      </c>
      <c r="M12" s="19">
        <v>12</v>
      </c>
      <c r="N12" s="19">
        <v>5</v>
      </c>
      <c r="O12" s="19">
        <v>6</v>
      </c>
      <c r="P12" s="19">
        <v>1</v>
      </c>
      <c r="Q12" s="22">
        <v>0</v>
      </c>
      <c r="R12" s="22">
        <f t="shared" si="2"/>
        <v>329.209</v>
      </c>
      <c r="S12" s="19">
        <f>F12*R12</f>
        <v>98.762700000000009</v>
      </c>
      <c r="T12" s="19">
        <f>SUM(S12:S15)</f>
        <v>324.49590000000001</v>
      </c>
      <c r="U12" s="19"/>
      <c r="V12" s="19"/>
      <c r="W12" s="23">
        <f>S12/$T$12</f>
        <v>0.30435731237282199</v>
      </c>
      <c r="X12" s="23">
        <f>W12*$D$12</f>
        <v>3.1269586887618696E-3</v>
      </c>
      <c r="Y12" s="23">
        <f t="shared" si="4"/>
        <v>9.4983997665977222E-3</v>
      </c>
      <c r="Z12" s="19"/>
      <c r="AA12" s="19"/>
      <c r="AB12" s="19"/>
      <c r="AC12" s="24"/>
      <c r="AD12" s="19"/>
      <c r="AE12" s="19">
        <f t="shared" si="5"/>
        <v>3.1269586887618696E-3</v>
      </c>
      <c r="AF12" s="19"/>
    </row>
    <row r="13" spans="1:32" ht="11.25" customHeight="1">
      <c r="A13" s="18" t="s">
        <v>48</v>
      </c>
      <c r="B13" s="19" t="s">
        <v>52</v>
      </c>
      <c r="C13" s="20"/>
      <c r="D13" s="20"/>
      <c r="E13" s="20">
        <v>0.2</v>
      </c>
      <c r="F13" s="20">
        <v>0.2</v>
      </c>
      <c r="G13" s="21">
        <f t="shared" si="1"/>
        <v>6.3322665110651473E-3</v>
      </c>
      <c r="H13" s="19" t="s">
        <v>53</v>
      </c>
      <c r="I13" s="19" t="s">
        <v>28</v>
      </c>
      <c r="J13" s="19" t="s">
        <v>49</v>
      </c>
      <c r="K13" s="19" t="s">
        <v>54</v>
      </c>
      <c r="L13" s="19">
        <v>9</v>
      </c>
      <c r="M13" s="19">
        <v>10</v>
      </c>
      <c r="N13" s="19">
        <v>3</v>
      </c>
      <c r="O13" s="19">
        <v>7</v>
      </c>
      <c r="P13" s="19">
        <v>1</v>
      </c>
      <c r="Q13" s="22">
        <v>0</v>
      </c>
      <c r="R13" s="22">
        <f t="shared" si="2"/>
        <v>303.16699999999997</v>
      </c>
      <c r="S13" s="19">
        <f t="shared" ref="S13:S15" si="8">F13*R13</f>
        <v>60.633399999999995</v>
      </c>
      <c r="T13" s="22"/>
      <c r="U13" s="22"/>
      <c r="V13" s="22"/>
      <c r="W13" s="23">
        <f>S13/$T$12</f>
        <v>0.1868541328257152</v>
      </c>
      <c r="X13" s="23">
        <f>W13*$D$12</f>
        <v>1.9197342413600875E-3</v>
      </c>
      <c r="Y13" s="23">
        <f t="shared" si="4"/>
        <v>6.3322665110651473E-3</v>
      </c>
      <c r="Z13" s="19"/>
      <c r="AA13" s="19"/>
      <c r="AB13" s="19"/>
      <c r="AC13" s="24"/>
      <c r="AD13" s="19"/>
      <c r="AE13" s="19">
        <f t="shared" si="5"/>
        <v>1.9197342413600873E-3</v>
      </c>
      <c r="AF13" s="19"/>
    </row>
    <row r="14" spans="1:32" ht="11.25" customHeight="1">
      <c r="A14" s="18" t="s">
        <v>48</v>
      </c>
      <c r="B14" s="19" t="s">
        <v>52</v>
      </c>
      <c r="C14" s="20"/>
      <c r="D14" s="20"/>
      <c r="E14" s="20">
        <v>0.2</v>
      </c>
      <c r="F14" s="20">
        <v>0.2</v>
      </c>
      <c r="G14" s="21">
        <f t="shared" si="1"/>
        <v>6.3322665110651473E-3</v>
      </c>
      <c r="H14" s="19" t="s">
        <v>55</v>
      </c>
      <c r="I14" s="19" t="s">
        <v>28</v>
      </c>
      <c r="J14" s="19" t="s">
        <v>49</v>
      </c>
      <c r="K14" s="19" t="s">
        <v>56</v>
      </c>
      <c r="L14" s="19">
        <v>10</v>
      </c>
      <c r="M14" s="19">
        <v>12</v>
      </c>
      <c r="N14" s="19">
        <v>5</v>
      </c>
      <c r="O14" s="19">
        <v>7</v>
      </c>
      <c r="P14" s="19">
        <v>1</v>
      </c>
      <c r="Q14" s="22">
        <v>0</v>
      </c>
      <c r="R14" s="22">
        <f t="shared" si="2"/>
        <v>345.20800000000003</v>
      </c>
      <c r="S14" s="19">
        <f t="shared" si="8"/>
        <v>69.041600000000003</v>
      </c>
      <c r="T14" s="22"/>
      <c r="U14" s="22"/>
      <c r="V14" s="22"/>
      <c r="W14" s="23">
        <f>S14/$T$12</f>
        <v>0.21276570828783969</v>
      </c>
      <c r="X14" s="23">
        <f>W14*$D$12</f>
        <v>2.1859490577517777E-3</v>
      </c>
      <c r="Y14" s="23">
        <f t="shared" si="4"/>
        <v>6.3322665110651473E-3</v>
      </c>
      <c r="Z14" s="19"/>
      <c r="AA14" s="19"/>
      <c r="AB14" s="19"/>
      <c r="AC14" s="24"/>
      <c r="AD14" s="19"/>
      <c r="AE14" s="19">
        <f t="shared" si="5"/>
        <v>2.1859490577517777E-3</v>
      </c>
      <c r="AF14" s="19"/>
    </row>
    <row r="15" spans="1:32" ht="11.25" customHeight="1">
      <c r="A15" s="18" t="s">
        <v>48</v>
      </c>
      <c r="B15" s="19" t="s">
        <v>52</v>
      </c>
      <c r="C15" s="20"/>
      <c r="D15" s="20"/>
      <c r="E15" s="20">
        <v>0.30000000000000004</v>
      </c>
      <c r="F15" s="20">
        <v>0.30000000000000004</v>
      </c>
      <c r="G15" s="21">
        <f t="shared" si="1"/>
        <v>9.4983997665977222E-3</v>
      </c>
      <c r="H15" s="19" t="s">
        <v>57</v>
      </c>
      <c r="I15" s="19" t="s">
        <v>28</v>
      </c>
      <c r="J15" s="19" t="s">
        <v>49</v>
      </c>
      <c r="K15" s="19" t="s">
        <v>58</v>
      </c>
      <c r="L15" s="19">
        <v>10</v>
      </c>
      <c r="M15" s="19">
        <v>13</v>
      </c>
      <c r="N15" s="19">
        <v>2</v>
      </c>
      <c r="O15" s="19">
        <v>8</v>
      </c>
      <c r="P15" s="19">
        <v>1</v>
      </c>
      <c r="Q15" s="22">
        <v>0</v>
      </c>
      <c r="R15" s="22">
        <f t="shared" si="2"/>
        <v>320.19400000000002</v>
      </c>
      <c r="S15" s="19">
        <f t="shared" si="8"/>
        <v>96.058200000000014</v>
      </c>
      <c r="T15" s="22"/>
      <c r="U15" s="22"/>
      <c r="V15" s="22"/>
      <c r="W15" s="23">
        <f>S15/$T$12</f>
        <v>0.29602284651362315</v>
      </c>
      <c r="X15" s="23">
        <f>W15*$D$12</f>
        <v>3.0413306148659911E-3</v>
      </c>
      <c r="Y15" s="23">
        <f t="shared" si="4"/>
        <v>9.4983997665977222E-3</v>
      </c>
      <c r="Z15" s="19"/>
      <c r="AA15" s="20">
        <f>SUM(Y12:Y15)</f>
        <v>3.1661332555325737E-2</v>
      </c>
      <c r="AB15" s="19" t="s">
        <v>49</v>
      </c>
      <c r="AC15" s="25">
        <f>SUM(X12:X15)</f>
        <v>1.0273972602739725E-2</v>
      </c>
      <c r="AD15" s="19"/>
      <c r="AE15" s="19">
        <f t="shared" si="5"/>
        <v>3.0413306148659915E-3</v>
      </c>
      <c r="AF15" s="19">
        <f>SUM(AE12:AE15)</f>
        <v>1.0273972602739725E-2</v>
      </c>
    </row>
    <row r="16" spans="1:32" ht="11.25" customHeight="1">
      <c r="A16" s="18" t="s">
        <v>48</v>
      </c>
      <c r="B16" s="26" t="s">
        <v>59</v>
      </c>
      <c r="C16" s="27">
        <f>[1]Davidson57!C8</f>
        <v>1.0455104551045511E-2</v>
      </c>
      <c r="D16" s="27">
        <f>C16/$C$36</f>
        <v>4.366438356164383E-2</v>
      </c>
      <c r="E16" s="27">
        <v>0.30000000000000004</v>
      </c>
      <c r="F16" s="27">
        <v>0.30000000000000004</v>
      </c>
      <c r="G16" s="28">
        <f t="shared" si="1"/>
        <v>3.8607758173389586E-2</v>
      </c>
      <c r="H16" s="26" t="s">
        <v>60</v>
      </c>
      <c r="I16" s="26" t="s">
        <v>28</v>
      </c>
      <c r="J16" s="26" t="s">
        <v>59</v>
      </c>
      <c r="K16" s="26" t="s">
        <v>61</v>
      </c>
      <c r="L16" s="26">
        <v>9</v>
      </c>
      <c r="M16" s="26">
        <v>12</v>
      </c>
      <c r="N16" s="26">
        <v>3</v>
      </c>
      <c r="O16" s="26">
        <v>8</v>
      </c>
      <c r="P16" s="26">
        <v>1</v>
      </c>
      <c r="Q16" s="29">
        <v>0</v>
      </c>
      <c r="R16" s="29">
        <f t="shared" si="2"/>
        <v>321.18200000000002</v>
      </c>
      <c r="S16" s="26">
        <f>F16*R16</f>
        <v>96.354600000000019</v>
      </c>
      <c r="T16" s="26">
        <f>SUM(S16:S19)</f>
        <v>339.29230000000001</v>
      </c>
      <c r="U16" s="26"/>
      <c r="V16" s="26"/>
      <c r="W16" s="30">
        <f>S16/$T$16</f>
        <v>0.28398699292615842</v>
      </c>
      <c r="X16" s="30">
        <f>W16*$D$16</f>
        <v>1.2400116985645615E-2</v>
      </c>
      <c r="Y16" s="30">
        <f t="shared" si="4"/>
        <v>3.8607758173389586E-2</v>
      </c>
      <c r="Z16" s="26"/>
      <c r="AA16" s="26"/>
      <c r="AB16" s="26"/>
      <c r="AC16" s="31"/>
      <c r="AD16" s="26"/>
      <c r="AE16" s="26">
        <f t="shared" si="5"/>
        <v>1.2400116985645615E-2</v>
      </c>
      <c r="AF16" s="26"/>
    </row>
    <row r="17" spans="1:32" ht="11.25" customHeight="1">
      <c r="A17" s="18" t="s">
        <v>48</v>
      </c>
      <c r="B17" s="26"/>
      <c r="C17" s="27"/>
      <c r="D17" s="27"/>
      <c r="E17" s="27">
        <v>0.34</v>
      </c>
      <c r="F17" s="27">
        <v>0.34</v>
      </c>
      <c r="G17" s="28">
        <f t="shared" si="1"/>
        <v>4.375545926317486E-2</v>
      </c>
      <c r="H17" s="26" t="s">
        <v>62</v>
      </c>
      <c r="I17" s="26" t="s">
        <v>28</v>
      </c>
      <c r="J17" s="26" t="s">
        <v>59</v>
      </c>
      <c r="K17" s="26" t="s">
        <v>63</v>
      </c>
      <c r="L17" s="26">
        <v>10</v>
      </c>
      <c r="M17" s="26">
        <v>12</v>
      </c>
      <c r="N17" s="26">
        <v>5</v>
      </c>
      <c r="O17" s="26">
        <v>8</v>
      </c>
      <c r="P17" s="26">
        <v>1</v>
      </c>
      <c r="Q17" s="29">
        <v>0</v>
      </c>
      <c r="R17" s="29">
        <f t="shared" si="2"/>
        <v>361.20699999999994</v>
      </c>
      <c r="S17" s="26">
        <f t="shared" ref="S17:S19" si="9">F17*R17</f>
        <v>122.81037999999998</v>
      </c>
      <c r="T17" s="29"/>
      <c r="U17" s="29"/>
      <c r="V17" s="29"/>
      <c r="W17" s="30">
        <f>S17/$T$16</f>
        <v>0.36196040994741108</v>
      </c>
      <c r="X17" s="30">
        <f>W17*$D$16</f>
        <v>1.5804778174073598E-2</v>
      </c>
      <c r="Y17" s="30">
        <f t="shared" si="4"/>
        <v>4.375545926317486E-2</v>
      </c>
      <c r="Z17" s="26"/>
      <c r="AA17" s="26"/>
      <c r="AB17" s="26"/>
      <c r="AC17" s="31"/>
      <c r="AD17" s="26"/>
      <c r="AE17" s="26">
        <f t="shared" si="5"/>
        <v>1.5804778174073598E-2</v>
      </c>
      <c r="AF17" s="26"/>
    </row>
    <row r="18" spans="1:32" ht="11.25" customHeight="1">
      <c r="A18" s="18" t="s">
        <v>48</v>
      </c>
      <c r="B18" s="26"/>
      <c r="C18" s="27"/>
      <c r="D18" s="27"/>
      <c r="E18" s="27">
        <v>0.18</v>
      </c>
      <c r="F18" s="27">
        <v>0.18</v>
      </c>
      <c r="G18" s="28">
        <f t="shared" si="1"/>
        <v>2.3164654904033743E-2</v>
      </c>
      <c r="H18" s="26" t="s">
        <v>64</v>
      </c>
      <c r="I18" s="26" t="s">
        <v>28</v>
      </c>
      <c r="J18" s="26" t="s">
        <v>59</v>
      </c>
      <c r="K18" s="26" t="s">
        <v>65</v>
      </c>
      <c r="L18" s="26">
        <v>9</v>
      </c>
      <c r="M18" s="26">
        <v>11</v>
      </c>
      <c r="N18" s="26">
        <v>2</v>
      </c>
      <c r="O18" s="26">
        <v>9</v>
      </c>
      <c r="P18" s="26">
        <v>1</v>
      </c>
      <c r="Q18" s="29">
        <v>0</v>
      </c>
      <c r="R18" s="29">
        <f t="shared" si="2"/>
        <v>322.166</v>
      </c>
      <c r="S18" s="26">
        <f t="shared" si="9"/>
        <v>57.989879999999999</v>
      </c>
      <c r="T18" s="29"/>
      <c r="U18" s="29"/>
      <c r="V18" s="29"/>
      <c r="W18" s="30">
        <f>S18/$T$16</f>
        <v>0.17091422351759825</v>
      </c>
      <c r="X18" s="30">
        <f>W18*$D$16</f>
        <v>7.4628642118129357E-3</v>
      </c>
      <c r="Y18" s="30">
        <f t="shared" si="4"/>
        <v>2.3164654904033743E-2</v>
      </c>
      <c r="Z18" s="26"/>
      <c r="AA18" s="26"/>
      <c r="AB18" s="26"/>
      <c r="AC18" s="31"/>
      <c r="AD18" s="26"/>
      <c r="AE18" s="26">
        <f t="shared" si="5"/>
        <v>7.4628642118129349E-3</v>
      </c>
      <c r="AF18" s="26"/>
    </row>
    <row r="19" spans="1:32" ht="11.25" customHeight="1">
      <c r="A19" s="18" t="s">
        <v>48</v>
      </c>
      <c r="B19" s="26"/>
      <c r="C19" s="27"/>
      <c r="D19" s="27"/>
      <c r="E19" s="27">
        <v>0.18</v>
      </c>
      <c r="F19" s="27">
        <v>0.18</v>
      </c>
      <c r="G19" s="28">
        <f t="shared" si="1"/>
        <v>2.3164654904033747E-2</v>
      </c>
      <c r="H19" s="26" t="s">
        <v>66</v>
      </c>
      <c r="I19" s="26" t="s">
        <v>28</v>
      </c>
      <c r="J19" s="26" t="s">
        <v>59</v>
      </c>
      <c r="K19" s="26" t="s">
        <v>67</v>
      </c>
      <c r="L19" s="26">
        <v>10</v>
      </c>
      <c r="M19" s="26">
        <v>12</v>
      </c>
      <c r="N19" s="26">
        <v>5</v>
      </c>
      <c r="O19" s="26">
        <v>7</v>
      </c>
      <c r="P19" s="26">
        <v>1</v>
      </c>
      <c r="Q19" s="29">
        <v>0</v>
      </c>
      <c r="R19" s="29">
        <f t="shared" si="2"/>
        <v>345.20800000000003</v>
      </c>
      <c r="S19" s="26">
        <f t="shared" si="9"/>
        <v>62.137440000000005</v>
      </c>
      <c r="T19" s="29"/>
      <c r="U19" s="29"/>
      <c r="V19" s="29"/>
      <c r="W19" s="30">
        <f>S19/$T$16</f>
        <v>0.18313837360883228</v>
      </c>
      <c r="X19" s="30">
        <f>W19*$D$16</f>
        <v>7.9966241901116824E-3</v>
      </c>
      <c r="Y19" s="30">
        <f t="shared" si="4"/>
        <v>2.3164654904033747E-2</v>
      </c>
      <c r="Z19" s="26"/>
      <c r="AA19" s="27">
        <f>SUM(Y16:Y19)</f>
        <v>0.12869252724463193</v>
      </c>
      <c r="AB19" s="26" t="s">
        <v>59</v>
      </c>
      <c r="AC19" s="32">
        <f>SUM(X16:X19)</f>
        <v>4.366438356164383E-2</v>
      </c>
      <c r="AD19" s="26"/>
      <c r="AE19" s="26">
        <f t="shared" si="5"/>
        <v>7.9966241901116824E-3</v>
      </c>
      <c r="AF19" s="26">
        <f>SUM(AE16:AE19)</f>
        <v>4.366438356164383E-2</v>
      </c>
    </row>
    <row r="20" spans="1:32" ht="11.25" customHeight="1">
      <c r="A20" s="33" t="s">
        <v>68</v>
      </c>
      <c r="B20" s="34" t="s">
        <v>69</v>
      </c>
      <c r="C20" s="35">
        <f>[1]Davidson57!C3+[1]Davidson57!C4</f>
        <v>3.9975399753997547E-2</v>
      </c>
      <c r="D20" s="35">
        <f>C20/$C$36</f>
        <v>0.16695205479452055</v>
      </c>
      <c r="E20" s="35"/>
      <c r="F20" s="35"/>
      <c r="G20" s="36">
        <f t="shared" si="1"/>
        <v>1.2910308003266657E-2</v>
      </c>
      <c r="H20" s="37" t="s">
        <v>70</v>
      </c>
      <c r="I20" s="34" t="s">
        <v>28</v>
      </c>
      <c r="J20" s="34" t="s">
        <v>69</v>
      </c>
      <c r="K20" s="34" t="s">
        <v>71</v>
      </c>
      <c r="L20" s="34">
        <v>23</v>
      </c>
      <c r="M20" s="34">
        <v>48</v>
      </c>
      <c r="N20" s="34">
        <v>2</v>
      </c>
      <c r="O20" s="34">
        <v>5</v>
      </c>
      <c r="P20" s="34">
        <v>1</v>
      </c>
      <c r="Q20" s="34">
        <v>0</v>
      </c>
      <c r="R20" s="34">
        <f t="shared" si="2"/>
        <v>463.62</v>
      </c>
      <c r="S20" s="38"/>
      <c r="T20" s="38"/>
      <c r="U20" s="39">
        <v>2.7999999999999997E-2</v>
      </c>
      <c r="V20" s="39">
        <f>SUM(U20:U32)</f>
        <v>0.78100000000000003</v>
      </c>
      <c r="W20" s="39">
        <f>U20/$V$20</f>
        <v>3.5851472471190776E-2</v>
      </c>
      <c r="X20" s="39">
        <f>W20*$D$20</f>
        <v>5.9854769964744871E-3</v>
      </c>
      <c r="Y20" s="39">
        <f t="shared" si="4"/>
        <v>1.2910308003266657E-2</v>
      </c>
      <c r="Z20" s="38"/>
      <c r="AA20" s="38"/>
      <c r="AB20" s="38"/>
      <c r="AC20" s="38"/>
      <c r="AD20" s="34"/>
      <c r="AE20" s="34">
        <f t="shared" si="5"/>
        <v>5.9854769964744871E-3</v>
      </c>
      <c r="AF20" s="34"/>
    </row>
    <row r="21" spans="1:32" ht="11.25" customHeight="1">
      <c r="A21" s="33" t="s">
        <v>68</v>
      </c>
      <c r="B21" s="34" t="s">
        <v>52</v>
      </c>
      <c r="C21" s="35"/>
      <c r="D21" s="35"/>
      <c r="E21" s="35"/>
      <c r="F21" s="35"/>
      <c r="G21" s="36">
        <f t="shared" si="1"/>
        <v>4.4227967555991676E-2</v>
      </c>
      <c r="H21" s="37" t="s">
        <v>72</v>
      </c>
      <c r="I21" s="34" t="s">
        <v>28</v>
      </c>
      <c r="J21" s="34" t="s">
        <v>69</v>
      </c>
      <c r="K21" s="34" t="s">
        <v>73</v>
      </c>
      <c r="L21" s="34">
        <v>27</v>
      </c>
      <c r="M21" s="34">
        <v>46</v>
      </c>
      <c r="N21" s="34">
        <v>0</v>
      </c>
      <c r="O21" s="34">
        <v>1</v>
      </c>
      <c r="P21" s="34">
        <v>0</v>
      </c>
      <c r="Q21" s="34">
        <v>0</v>
      </c>
      <c r="R21" s="34">
        <f t="shared" si="2"/>
        <v>386.66399999999999</v>
      </c>
      <c r="S21" s="38"/>
      <c r="T21" s="38"/>
      <c r="U21" s="39">
        <v>0.08</v>
      </c>
      <c r="V21" s="39"/>
      <c r="W21" s="39">
        <f t="shared" ref="W21:W32" si="10">U21/$V$20</f>
        <v>0.10243277848911651</v>
      </c>
      <c r="X21" s="39">
        <f t="shared" ref="X21:X32" si="11">W21*$D$20</f>
        <v>1.7101362847069965E-2</v>
      </c>
      <c r="Y21" s="39">
        <f t="shared" si="4"/>
        <v>4.4227967555991676E-2</v>
      </c>
      <c r="Z21" s="38"/>
      <c r="AA21" s="38"/>
      <c r="AB21" s="38"/>
      <c r="AC21" s="38"/>
      <c r="AD21" s="34"/>
      <c r="AE21" s="34">
        <f t="shared" si="5"/>
        <v>1.7101362847069965E-2</v>
      </c>
      <c r="AF21" s="34"/>
    </row>
    <row r="22" spans="1:32" ht="11.25" customHeight="1">
      <c r="A22" s="33" t="s">
        <v>68</v>
      </c>
      <c r="B22" s="34" t="s">
        <v>52</v>
      </c>
      <c r="C22" s="35"/>
      <c r="D22" s="35"/>
      <c r="E22" s="35"/>
      <c r="F22" s="35"/>
      <c r="G22" s="36">
        <f t="shared" si="1"/>
        <v>3.5139843303557627E-2</v>
      </c>
      <c r="H22" s="37" t="s">
        <v>74</v>
      </c>
      <c r="I22" s="34" t="s">
        <v>28</v>
      </c>
      <c r="J22" s="34" t="s">
        <v>69</v>
      </c>
      <c r="K22" s="34" t="s">
        <v>75</v>
      </c>
      <c r="L22" s="34">
        <v>28</v>
      </c>
      <c r="M22" s="34">
        <v>45</v>
      </c>
      <c r="N22" s="34">
        <v>0</v>
      </c>
      <c r="O22" s="34">
        <v>2</v>
      </c>
      <c r="P22" s="34">
        <v>0</v>
      </c>
      <c r="Q22" s="34">
        <v>0</v>
      </c>
      <c r="R22" s="34">
        <f t="shared" si="2"/>
        <v>413.666</v>
      </c>
      <c r="S22" s="38"/>
      <c r="T22" s="38"/>
      <c r="U22" s="39">
        <v>6.8000000000000005E-2</v>
      </c>
      <c r="V22" s="39"/>
      <c r="W22" s="39">
        <f t="shared" si="10"/>
        <v>8.706786171574904E-2</v>
      </c>
      <c r="X22" s="39">
        <f t="shared" si="11"/>
        <v>1.4536158420009472E-2</v>
      </c>
      <c r="Y22" s="39">
        <f t="shared" si="4"/>
        <v>3.5139843303557627E-2</v>
      </c>
      <c r="Z22" s="38"/>
      <c r="AA22" s="38"/>
      <c r="AB22" s="38"/>
      <c r="AC22" s="38"/>
      <c r="AD22" s="34"/>
      <c r="AE22" s="34">
        <f t="shared" si="5"/>
        <v>1.4536158420009469E-2</v>
      </c>
      <c r="AF22" s="34"/>
    </row>
    <row r="23" spans="1:32" ht="11.25" customHeight="1">
      <c r="A23" s="33" t="s">
        <v>68</v>
      </c>
      <c r="B23" s="34" t="s">
        <v>52</v>
      </c>
      <c r="C23" s="35"/>
      <c r="D23" s="35"/>
      <c r="E23" s="35"/>
      <c r="F23" s="35"/>
      <c r="G23" s="36">
        <f t="shared" si="1"/>
        <v>2.0641506929420867E-2</v>
      </c>
      <c r="H23" s="37" t="s">
        <v>76</v>
      </c>
      <c r="I23" s="34" t="s">
        <v>28</v>
      </c>
      <c r="J23" s="34" t="s">
        <v>69</v>
      </c>
      <c r="K23" s="34" t="s">
        <v>77</v>
      </c>
      <c r="L23" s="34">
        <v>4</v>
      </c>
      <c r="M23" s="34">
        <v>7</v>
      </c>
      <c r="N23" s="34">
        <v>0</v>
      </c>
      <c r="O23" s="34">
        <v>4</v>
      </c>
      <c r="P23" s="34">
        <v>0</v>
      </c>
      <c r="Q23" s="34">
        <v>0</v>
      </c>
      <c r="R23" s="34">
        <f t="shared" si="2"/>
        <v>119.096</v>
      </c>
      <c r="S23" s="38"/>
      <c r="T23" s="38"/>
      <c r="U23" s="39">
        <v>1.15E-2</v>
      </c>
      <c r="V23" s="39"/>
      <c r="W23" s="39">
        <f t="shared" si="10"/>
        <v>1.4724711907810498E-2</v>
      </c>
      <c r="X23" s="39">
        <f t="shared" si="11"/>
        <v>2.4583209092663076E-3</v>
      </c>
      <c r="Y23" s="39">
        <f t="shared" si="4"/>
        <v>2.0641506929420867E-2</v>
      </c>
      <c r="Z23" s="38"/>
      <c r="AA23" s="38"/>
      <c r="AB23" s="38"/>
      <c r="AC23" s="38"/>
      <c r="AD23" s="34"/>
      <c r="AE23" s="34">
        <f t="shared" si="5"/>
        <v>2.4583209092663076E-3</v>
      </c>
      <c r="AF23" s="34"/>
    </row>
    <row r="24" spans="1:32" ht="11.25" customHeight="1">
      <c r="A24" s="33" t="s">
        <v>68</v>
      </c>
      <c r="B24" s="34" t="s">
        <v>52</v>
      </c>
      <c r="C24" s="35"/>
      <c r="D24" s="35"/>
      <c r="E24" s="35"/>
      <c r="F24" s="35"/>
      <c r="G24" s="36">
        <f t="shared" si="1"/>
        <v>1.6826519933649382E-2</v>
      </c>
      <c r="H24" s="37" t="s">
        <v>78</v>
      </c>
      <c r="I24" s="34" t="s">
        <v>28</v>
      </c>
      <c r="J24" s="34" t="s">
        <v>69</v>
      </c>
      <c r="K24" s="34" t="s">
        <v>79</v>
      </c>
      <c r="L24" s="34">
        <v>5</v>
      </c>
      <c r="M24" s="34">
        <v>6</v>
      </c>
      <c r="N24" s="34">
        <v>0</v>
      </c>
      <c r="O24" s="34">
        <v>5</v>
      </c>
      <c r="P24" s="34">
        <v>0</v>
      </c>
      <c r="Q24" s="34">
        <v>0</v>
      </c>
      <c r="R24" s="34">
        <f t="shared" si="2"/>
        <v>146.09800000000001</v>
      </c>
      <c r="S24" s="38"/>
      <c r="T24" s="38"/>
      <c r="U24" s="39">
        <v>1.15E-2</v>
      </c>
      <c r="V24" s="39"/>
      <c r="W24" s="39">
        <f t="shared" si="10"/>
        <v>1.4724711907810498E-2</v>
      </c>
      <c r="X24" s="39">
        <f t="shared" si="11"/>
        <v>2.4583209092663076E-3</v>
      </c>
      <c r="Y24" s="39">
        <f t="shared" si="4"/>
        <v>1.6826519933649382E-2</v>
      </c>
      <c r="Z24" s="38"/>
      <c r="AA24" s="38"/>
      <c r="AB24" s="38"/>
      <c r="AC24" s="38"/>
      <c r="AD24" s="34"/>
      <c r="AE24" s="34">
        <f t="shared" si="5"/>
        <v>2.4583209092663076E-3</v>
      </c>
      <c r="AF24" s="34"/>
    </row>
    <row r="25" spans="1:32" ht="11.25" customHeight="1">
      <c r="A25" s="33" t="s">
        <v>68</v>
      </c>
      <c r="B25" s="34" t="s">
        <v>52</v>
      </c>
      <c r="C25" s="35"/>
      <c r="D25" s="35"/>
      <c r="E25" s="35"/>
      <c r="F25" s="35"/>
      <c r="G25" s="36">
        <f t="shared" si="1"/>
        <v>1.6562100843602275E-2</v>
      </c>
      <c r="H25" s="37" t="s">
        <v>80</v>
      </c>
      <c r="I25" s="34" t="s">
        <v>28</v>
      </c>
      <c r="J25" s="34" t="s">
        <v>69</v>
      </c>
      <c r="K25" s="34" t="s">
        <v>81</v>
      </c>
      <c r="L25" s="34">
        <v>11</v>
      </c>
      <c r="M25" s="34">
        <v>16</v>
      </c>
      <c r="N25" s="34">
        <v>0</v>
      </c>
      <c r="O25" s="34">
        <v>13</v>
      </c>
      <c r="P25" s="34">
        <v>1</v>
      </c>
      <c r="Q25" s="34">
        <v>0</v>
      </c>
      <c r="R25" s="34">
        <f t="shared" si="2"/>
        <v>387.21</v>
      </c>
      <c r="S25" s="38"/>
      <c r="T25" s="38"/>
      <c r="U25" s="39">
        <v>0.03</v>
      </c>
      <c r="V25" s="39"/>
      <c r="W25" s="39">
        <f t="shared" si="10"/>
        <v>3.8412291933418691E-2</v>
      </c>
      <c r="X25" s="39">
        <f t="shared" si="11"/>
        <v>6.4130110676512368E-3</v>
      </c>
      <c r="Y25" s="39">
        <f t="shared" si="4"/>
        <v>1.6562100843602275E-2</v>
      </c>
      <c r="Z25" s="38"/>
      <c r="AA25" s="38"/>
      <c r="AB25" s="38"/>
      <c r="AC25" s="38"/>
      <c r="AD25" s="34"/>
      <c r="AE25" s="34">
        <f t="shared" si="5"/>
        <v>6.4130110676512368E-3</v>
      </c>
      <c r="AF25" s="34"/>
    </row>
    <row r="26" spans="1:32" ht="11.25" customHeight="1">
      <c r="A26" s="33" t="s">
        <v>68</v>
      </c>
      <c r="B26" s="34" t="s">
        <v>52</v>
      </c>
      <c r="C26" s="35"/>
      <c r="D26" s="35"/>
      <c r="E26" s="35"/>
      <c r="F26" s="35"/>
      <c r="G26" s="36">
        <f t="shared" si="1"/>
        <v>0.10722265909369103</v>
      </c>
      <c r="H26" s="37" t="s">
        <v>82</v>
      </c>
      <c r="I26" s="34" t="s">
        <v>28</v>
      </c>
      <c r="J26" s="34" t="s">
        <v>69</v>
      </c>
      <c r="K26" s="34" t="s">
        <v>83</v>
      </c>
      <c r="L26" s="34">
        <v>7</v>
      </c>
      <c r="M26" s="34">
        <v>12</v>
      </c>
      <c r="N26" s="34">
        <v>1</v>
      </c>
      <c r="O26" s="34">
        <v>8</v>
      </c>
      <c r="P26" s="34">
        <v>1</v>
      </c>
      <c r="Q26" s="34">
        <v>0</v>
      </c>
      <c r="R26" s="34">
        <f t="shared" si="2"/>
        <v>269.14600000000002</v>
      </c>
      <c r="S26" s="38"/>
      <c r="T26" s="38"/>
      <c r="U26" s="39">
        <v>0.13500000000000001</v>
      </c>
      <c r="V26" s="39"/>
      <c r="W26" s="39">
        <f t="shared" si="10"/>
        <v>0.17285531370038412</v>
      </c>
      <c r="X26" s="39">
        <f t="shared" si="11"/>
        <v>2.8858549804430568E-2</v>
      </c>
      <c r="Y26" s="39">
        <f t="shared" si="4"/>
        <v>0.10722265909369103</v>
      </c>
      <c r="Z26" s="38"/>
      <c r="AA26" s="38"/>
      <c r="AB26" s="38"/>
      <c r="AC26" s="38"/>
      <c r="AD26" s="34"/>
      <c r="AE26" s="34">
        <f t="shared" si="5"/>
        <v>2.8858549804430568E-2</v>
      </c>
      <c r="AF26" s="34"/>
    </row>
    <row r="27" spans="1:32" ht="11.25" customHeight="1">
      <c r="A27" s="33" t="s">
        <v>68</v>
      </c>
      <c r="B27" s="34" t="s">
        <v>52</v>
      </c>
      <c r="C27" s="35"/>
      <c r="D27" s="35"/>
      <c r="E27" s="35"/>
      <c r="F27" s="35"/>
      <c r="G27" s="36">
        <f t="shared" si="1"/>
        <v>3.1502092402186252E-2</v>
      </c>
      <c r="H27" s="37" t="s">
        <v>84</v>
      </c>
      <c r="I27" s="34" t="s">
        <v>28</v>
      </c>
      <c r="J27" s="34" t="s">
        <v>69</v>
      </c>
      <c r="K27" s="34" t="s">
        <v>85</v>
      </c>
      <c r="L27" s="34">
        <v>8</v>
      </c>
      <c r="M27" s="34">
        <v>11</v>
      </c>
      <c r="N27" s="34">
        <v>1</v>
      </c>
      <c r="O27" s="34">
        <v>10</v>
      </c>
      <c r="P27" s="34">
        <v>1</v>
      </c>
      <c r="Q27" s="34">
        <v>0</v>
      </c>
      <c r="R27" s="34">
        <f t="shared" si="2"/>
        <v>312.14699999999999</v>
      </c>
      <c r="S27" s="38"/>
      <c r="T27" s="38"/>
      <c r="U27" s="39">
        <v>4.5999999999999999E-2</v>
      </c>
      <c r="V27" s="39"/>
      <c r="W27" s="39">
        <f t="shared" si="10"/>
        <v>5.8898847631241993E-2</v>
      </c>
      <c r="X27" s="39">
        <f t="shared" si="11"/>
        <v>9.8332836370652304E-3</v>
      </c>
      <c r="Y27" s="39">
        <f t="shared" si="4"/>
        <v>3.1502092402186252E-2</v>
      </c>
      <c r="Z27" s="38"/>
      <c r="AA27" s="38"/>
      <c r="AB27" s="38"/>
      <c r="AC27" s="38"/>
      <c r="AD27" s="34"/>
      <c r="AE27" s="34">
        <f t="shared" si="5"/>
        <v>9.8332836370652321E-3</v>
      </c>
      <c r="AF27" s="34"/>
    </row>
    <row r="28" spans="1:32" ht="11.25" customHeight="1">
      <c r="A28" s="33" t="s">
        <v>68</v>
      </c>
      <c r="B28" s="34" t="s">
        <v>52</v>
      </c>
      <c r="C28" s="35"/>
      <c r="D28" s="35"/>
      <c r="E28" s="35"/>
      <c r="F28" s="35"/>
      <c r="G28" s="36">
        <f t="shared" si="1"/>
        <v>9.1819671720798399E-2</v>
      </c>
      <c r="H28" s="37" t="s">
        <v>86</v>
      </c>
      <c r="I28" s="34" t="s">
        <v>28</v>
      </c>
      <c r="J28" s="34" t="s">
        <v>69</v>
      </c>
      <c r="K28" s="34" t="s">
        <v>87</v>
      </c>
      <c r="L28" s="34">
        <v>12</v>
      </c>
      <c r="M28" s="34">
        <v>18</v>
      </c>
      <c r="N28" s="34">
        <v>1</v>
      </c>
      <c r="O28" s="34">
        <v>8</v>
      </c>
      <c r="P28" s="34">
        <v>1</v>
      </c>
      <c r="Q28" s="34">
        <v>0</v>
      </c>
      <c r="R28" s="34">
        <f t="shared" si="2"/>
        <v>335.24900000000002</v>
      </c>
      <c r="S28" s="38"/>
      <c r="T28" s="38"/>
      <c r="U28" s="39">
        <v>0.14400000000000002</v>
      </c>
      <c r="V28" s="39"/>
      <c r="W28" s="39">
        <f t="shared" si="10"/>
        <v>0.18437900128040974</v>
      </c>
      <c r="X28" s="39">
        <f t="shared" si="11"/>
        <v>3.0782453124725943E-2</v>
      </c>
      <c r="Y28" s="39">
        <f t="shared" si="4"/>
        <v>9.1819671720798399E-2</v>
      </c>
      <c r="Z28" s="38"/>
      <c r="AA28" s="38"/>
      <c r="AB28" s="38"/>
      <c r="AC28" s="38"/>
      <c r="AD28" s="34"/>
      <c r="AE28" s="34">
        <f t="shared" si="5"/>
        <v>3.0782453124725943E-2</v>
      </c>
      <c r="AF28" s="34"/>
    </row>
    <row r="29" spans="1:32" ht="11.25" customHeight="1">
      <c r="A29" s="33" t="s">
        <v>68</v>
      </c>
      <c r="B29" s="34" t="s">
        <v>52</v>
      </c>
      <c r="C29" s="35"/>
      <c r="D29" s="35"/>
      <c r="E29" s="35"/>
      <c r="F29" s="35"/>
      <c r="G29" s="36">
        <f t="shared" si="1"/>
        <v>6.7600090944799889E-3</v>
      </c>
      <c r="H29" s="37" t="s">
        <v>88</v>
      </c>
      <c r="I29" s="34" t="s">
        <v>28</v>
      </c>
      <c r="J29" s="34" t="s">
        <v>69</v>
      </c>
      <c r="K29" s="34" t="s">
        <v>89</v>
      </c>
      <c r="L29" s="34">
        <v>9</v>
      </c>
      <c r="M29" s="34">
        <v>19</v>
      </c>
      <c r="N29" s="34">
        <v>1</v>
      </c>
      <c r="O29" s="34">
        <v>9</v>
      </c>
      <c r="P29" s="34">
        <v>1</v>
      </c>
      <c r="Q29" s="34">
        <v>0</v>
      </c>
      <c r="R29" s="34">
        <f t="shared" si="2"/>
        <v>316.22300000000001</v>
      </c>
      <c r="S29" s="38"/>
      <c r="T29" s="38"/>
      <c r="U29" s="39">
        <v>0.01</v>
      </c>
      <c r="V29" s="39"/>
      <c r="W29" s="39">
        <f t="shared" si="10"/>
        <v>1.2804097311139564E-2</v>
      </c>
      <c r="X29" s="39">
        <f t="shared" si="11"/>
        <v>2.1376703558837456E-3</v>
      </c>
      <c r="Y29" s="39">
        <f t="shared" si="4"/>
        <v>6.7600090944799889E-3</v>
      </c>
      <c r="Z29" s="38"/>
      <c r="AA29" s="38"/>
      <c r="AB29" s="38"/>
      <c r="AC29" s="38"/>
      <c r="AD29" s="34"/>
      <c r="AE29" s="34">
        <f t="shared" si="5"/>
        <v>2.1376703558837456E-3</v>
      </c>
      <c r="AF29" s="34"/>
    </row>
    <row r="30" spans="1:32" ht="11.25" customHeight="1">
      <c r="A30" s="33" t="s">
        <v>68</v>
      </c>
      <c r="B30" s="34" t="s">
        <v>52</v>
      </c>
      <c r="C30" s="35"/>
      <c r="D30" s="35"/>
      <c r="E30" s="35"/>
      <c r="F30" s="35"/>
      <c r="G30" s="36">
        <f t="shared" si="1"/>
        <v>3.0670762476093004E-3</v>
      </c>
      <c r="H30" s="37" t="s">
        <v>90</v>
      </c>
      <c r="I30" s="34" t="s">
        <v>28</v>
      </c>
      <c r="J30" s="34" t="s">
        <v>69</v>
      </c>
      <c r="K30" s="34" t="s">
        <v>91</v>
      </c>
      <c r="L30" s="34">
        <v>11</v>
      </c>
      <c r="M30" s="34">
        <v>16</v>
      </c>
      <c r="N30" s="34">
        <v>0</v>
      </c>
      <c r="O30" s="34">
        <v>13</v>
      </c>
      <c r="P30" s="34">
        <v>2</v>
      </c>
      <c r="Q30" s="34">
        <v>0</v>
      </c>
      <c r="R30" s="34">
        <f t="shared" si="2"/>
        <v>418.18399999999997</v>
      </c>
      <c r="S30" s="38"/>
      <c r="T30" s="38"/>
      <c r="U30" s="39">
        <v>6.000000000000001E-3</v>
      </c>
      <c r="V30" s="39"/>
      <c r="W30" s="39">
        <f t="shared" si="10"/>
        <v>7.6824583866837394E-3</v>
      </c>
      <c r="X30" s="39">
        <f t="shared" si="11"/>
        <v>1.2826022135302476E-3</v>
      </c>
      <c r="Y30" s="39">
        <f t="shared" si="4"/>
        <v>3.0670762476093004E-3</v>
      </c>
      <c r="Z30" s="38"/>
      <c r="AA30" s="40">
        <f>SUM(Y20:Y30)</f>
        <v>0.38667975512825348</v>
      </c>
      <c r="AB30" s="38" t="s">
        <v>69</v>
      </c>
      <c r="AC30" s="41">
        <f>SUM(X20:X30)</f>
        <v>0.1218472102853735</v>
      </c>
      <c r="AD30" s="34"/>
      <c r="AE30" s="34">
        <f t="shared" si="5"/>
        <v>1.2826022135302476E-3</v>
      </c>
      <c r="AF30" s="34"/>
    </row>
    <row r="31" spans="1:32" ht="11.25" customHeight="1">
      <c r="A31" s="33" t="s">
        <v>68</v>
      </c>
      <c r="B31" s="34" t="s">
        <v>52</v>
      </c>
      <c r="C31" s="35"/>
      <c r="D31" s="35"/>
      <c r="E31" s="35"/>
      <c r="F31" s="35"/>
      <c r="G31" s="36">
        <f t="shared" si="1"/>
        <v>8.7773272787903561E-2</v>
      </c>
      <c r="H31" s="37" t="s">
        <v>92</v>
      </c>
      <c r="I31" s="34" t="s">
        <v>28</v>
      </c>
      <c r="J31" s="34" t="s">
        <v>69</v>
      </c>
      <c r="K31" s="34" t="s">
        <v>93</v>
      </c>
      <c r="L31" s="34">
        <v>5</v>
      </c>
      <c r="M31" s="34">
        <v>5</v>
      </c>
      <c r="N31" s="34">
        <v>0</v>
      </c>
      <c r="O31" s="34">
        <v>8</v>
      </c>
      <c r="P31" s="34">
        <v>1</v>
      </c>
      <c r="Q31" s="34">
        <v>0</v>
      </c>
      <c r="R31" s="34">
        <f t="shared" si="2"/>
        <v>224.06099999999998</v>
      </c>
      <c r="S31" s="38"/>
      <c r="T31" s="38"/>
      <c r="U31" s="39">
        <v>9.1999999999999998E-2</v>
      </c>
      <c r="V31" s="39"/>
      <c r="W31" s="39">
        <f t="shared" si="10"/>
        <v>0.11779769526248399</v>
      </c>
      <c r="X31" s="39">
        <f t="shared" si="11"/>
        <v>1.9666567274130461E-2</v>
      </c>
      <c r="Y31" s="39">
        <f t="shared" si="4"/>
        <v>8.7773272787903561E-2</v>
      </c>
      <c r="Z31" s="38"/>
      <c r="AA31" s="40">
        <f>SUM(Y21:Y31)</f>
        <v>0.46154271991289042</v>
      </c>
      <c r="AB31" s="38" t="s">
        <v>69</v>
      </c>
      <c r="AC31" s="41">
        <f>SUM(X21:X31)</f>
        <v>0.13552830056302947</v>
      </c>
      <c r="AD31" s="34"/>
      <c r="AE31" s="34">
        <f t="shared" si="5"/>
        <v>1.9666567274130457E-2</v>
      </c>
      <c r="AF31" s="34"/>
    </row>
    <row r="32" spans="1:32" ht="11.25" customHeight="1">
      <c r="A32" s="33" t="s">
        <v>68</v>
      </c>
      <c r="B32" s="34" t="s">
        <v>52</v>
      </c>
      <c r="C32" s="35"/>
      <c r="D32" s="35"/>
      <c r="E32" s="35"/>
      <c r="F32" s="35"/>
      <c r="G32" s="36">
        <f t="shared" si="1"/>
        <v>0.14695711863094496</v>
      </c>
      <c r="H32" s="37" t="s">
        <v>94</v>
      </c>
      <c r="I32" s="34" t="s">
        <v>28</v>
      </c>
      <c r="J32" s="34" t="s">
        <v>69</v>
      </c>
      <c r="K32" s="34" t="s">
        <v>95</v>
      </c>
      <c r="L32" s="34">
        <v>6</v>
      </c>
      <c r="M32" s="34">
        <v>5</v>
      </c>
      <c r="N32" s="34">
        <v>0</v>
      </c>
      <c r="O32" s="34">
        <v>6</v>
      </c>
      <c r="P32" s="34">
        <v>0</v>
      </c>
      <c r="Q32" s="34">
        <v>0</v>
      </c>
      <c r="R32" s="34">
        <f t="shared" si="2"/>
        <v>173.10000000000002</v>
      </c>
      <c r="S32" s="38"/>
      <c r="T32" s="38"/>
      <c r="U32" s="39">
        <v>0.11900000000000001</v>
      </c>
      <c r="V32" s="39"/>
      <c r="W32" s="39">
        <f t="shared" si="10"/>
        <v>0.15236875800256083</v>
      </c>
      <c r="X32" s="39">
        <f t="shared" si="11"/>
        <v>2.5438277235016578E-2</v>
      </c>
      <c r="Y32" s="39">
        <f t="shared" si="4"/>
        <v>0.14695711863094496</v>
      </c>
      <c r="Z32" s="38"/>
      <c r="AA32" s="38"/>
      <c r="AB32" s="38"/>
      <c r="AC32" s="38"/>
      <c r="AD32" s="34"/>
      <c r="AE32" s="34">
        <f t="shared" si="5"/>
        <v>2.5438277235016574E-2</v>
      </c>
      <c r="AF32" s="34"/>
    </row>
    <row r="33" spans="1:32" ht="11.25" customHeight="1">
      <c r="A33" s="33" t="s">
        <v>68</v>
      </c>
      <c r="B33" s="34" t="s">
        <v>52</v>
      </c>
      <c r="C33" s="35"/>
      <c r="D33" s="35"/>
      <c r="E33" s="35"/>
      <c r="F33" s="35"/>
      <c r="G33" s="36"/>
      <c r="H33" s="37" t="s">
        <v>96</v>
      </c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8"/>
      <c r="T33" s="38"/>
      <c r="U33" s="39">
        <v>0.11899999999999999</v>
      </c>
      <c r="V33" s="39"/>
      <c r="W33" s="39"/>
      <c r="X33" s="39"/>
      <c r="Y33" s="39"/>
      <c r="Z33" s="38"/>
      <c r="AA33" s="40"/>
      <c r="AB33" s="38"/>
      <c r="AC33" s="41"/>
      <c r="AD33" s="34"/>
      <c r="AE33" s="34"/>
      <c r="AF33" s="34"/>
    </row>
    <row r="34" spans="1:32" ht="11.25" customHeight="1">
      <c r="A34" s="33" t="s">
        <v>68</v>
      </c>
      <c r="B34" s="34" t="s">
        <v>52</v>
      </c>
      <c r="C34" s="35"/>
      <c r="D34" s="35"/>
      <c r="E34" s="35"/>
      <c r="F34" s="35"/>
      <c r="G34" s="36"/>
      <c r="H34" s="37" t="s">
        <v>97</v>
      </c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8"/>
      <c r="T34" s="38"/>
      <c r="U34" s="39">
        <v>3.3000000000000002E-2</v>
      </c>
      <c r="V34" s="39"/>
      <c r="W34" s="39"/>
      <c r="X34" s="39"/>
      <c r="Y34" s="39"/>
      <c r="Z34" s="38"/>
      <c r="AA34" s="40"/>
      <c r="AB34" s="38"/>
      <c r="AC34" s="41"/>
      <c r="AD34" s="34"/>
      <c r="AE34" s="34"/>
      <c r="AF34" s="34"/>
    </row>
    <row r="35" spans="1:32" ht="11.25" customHeight="1">
      <c r="A35" s="33" t="s">
        <v>68</v>
      </c>
      <c r="B35" s="34" t="s">
        <v>52</v>
      </c>
      <c r="C35" s="35"/>
      <c r="D35" s="35"/>
      <c r="E35" s="35"/>
      <c r="F35" s="35"/>
      <c r="G35" s="36"/>
      <c r="H35" s="37" t="s">
        <v>98</v>
      </c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8"/>
      <c r="T35" s="38"/>
      <c r="U35" s="39">
        <v>6.7000000000000004E-2</v>
      </c>
      <c r="V35" s="39"/>
      <c r="W35" s="39"/>
      <c r="X35" s="39"/>
      <c r="Y35" s="39"/>
      <c r="Z35" s="38"/>
      <c r="AA35" s="40"/>
      <c r="AB35" s="38"/>
      <c r="AC35" s="41"/>
      <c r="AD35" s="34"/>
      <c r="AE35" s="34"/>
      <c r="AF35" s="34"/>
    </row>
    <row r="36" spans="1:32" ht="11.25" customHeight="1">
      <c r="A36" s="42" t="s">
        <v>100</v>
      </c>
      <c r="B36" s="42"/>
      <c r="C36" s="43">
        <f>SUM(C3:C34)</f>
        <v>0.23944239442394427</v>
      </c>
      <c r="D36" s="43"/>
      <c r="E36" s="43"/>
      <c r="F36" s="43"/>
      <c r="G36" s="44"/>
      <c r="H36" s="45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43"/>
      <c r="AE36" s="43"/>
      <c r="AF36" s="42"/>
    </row>
    <row r="38" spans="1:32">
      <c r="A38" s="47" t="s">
        <v>101</v>
      </c>
    </row>
    <row r="39" spans="1:32">
      <c r="A39" s="48" t="s">
        <v>102</v>
      </c>
    </row>
    <row r="44" spans="1:32">
      <c r="D44" s="4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DatasetS1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2010-10-29T10:42:33Z</dcterms:modified>
</cp:coreProperties>
</file>